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jiba\Desktop\cyber-lab\TPRM Assessment (GRC)\"/>
    </mc:Choice>
  </mc:AlternateContent>
  <xr:revisionPtr revIDLastSave="0" documentId="13_ncr:1_{10F81E67-94CD-439C-85DE-D651AFB9486E}" xr6:coauthVersionLast="47" xr6:coauthVersionMax="47" xr10:uidLastSave="{00000000-0000-0000-0000-000000000000}"/>
  <bookViews>
    <workbookView xWindow="70" yWindow="610" windowWidth="13010" windowHeight="12450" tabRatio="500" firstSheet="2" activeTab="6" xr2:uid="{00000000-000D-0000-FFFF-FFFF00000000}"/>
  </bookViews>
  <sheets>
    <sheet name="Read Me" sheetId="1" r:id="rId1"/>
    <sheet name="1 · Vendor Profile" sheetId="2" r:id="rId2"/>
    <sheet name="2 · Tiering" sheetId="3" r:id="rId3"/>
    <sheet name="3 · Questionnaire" sheetId="4" r:id="rId4"/>
    <sheet name="4 · Findings" sheetId="5" r:id="rId5"/>
    <sheet name="5 · Risk Matrix" sheetId="6" r:id="rId6"/>
    <sheet name="6 · Decision"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9" i="5" l="1"/>
  <c r="I9" i="5" s="1"/>
  <c r="H8" i="5"/>
  <c r="I8" i="5" s="1"/>
  <c r="H25" i="5"/>
  <c r="I25" i="5" s="1"/>
  <c r="H24" i="5"/>
  <c r="I24" i="5" s="1"/>
  <c r="H23" i="5"/>
  <c r="I23" i="5" s="1"/>
  <c r="H22" i="5"/>
  <c r="I22" i="5" s="1"/>
  <c r="H21" i="5"/>
  <c r="I21" i="5" s="1"/>
  <c r="H20" i="5"/>
  <c r="I20" i="5" s="1"/>
  <c r="H19" i="5"/>
  <c r="I19" i="5" s="1"/>
  <c r="H18" i="5"/>
  <c r="I18" i="5" s="1"/>
  <c r="H17" i="5"/>
  <c r="I17" i="5" s="1"/>
  <c r="H16" i="5"/>
  <c r="I16" i="5" s="1"/>
  <c r="H15" i="5"/>
  <c r="I15" i="5" s="1"/>
  <c r="H14" i="5"/>
  <c r="I14" i="5" s="1"/>
  <c r="H13" i="5"/>
  <c r="I13" i="5" s="1"/>
  <c r="H12" i="5"/>
  <c r="I12" i="5" s="1"/>
  <c r="H11" i="5"/>
  <c r="I11" i="5" s="1"/>
  <c r="H10" i="5"/>
  <c r="I10" i="5" s="1"/>
  <c r="H7" i="5"/>
  <c r="I7" i="5" s="1"/>
  <c r="H6" i="5"/>
  <c r="I6" i="5" s="1"/>
  <c r="C51" i="4"/>
  <c r="C50" i="4"/>
  <c r="C49" i="4"/>
  <c r="C48" i="4"/>
  <c r="E10" i="3"/>
  <c r="C12" i="3" s="1"/>
  <c r="C5" i="7" s="1"/>
  <c r="D10" i="3"/>
  <c r="E9" i="3"/>
  <c r="E8" i="3"/>
  <c r="E7" i="3"/>
  <c r="E6" i="3"/>
  <c r="C9" i="7" l="1"/>
  <c r="C8" i="7"/>
  <c r="C7" i="7"/>
  <c r="C6" i="7"/>
</calcChain>
</file>

<file path=xl/sharedStrings.xml><?xml version="1.0" encoding="utf-8"?>
<sst xmlns="http://schemas.openxmlformats.org/spreadsheetml/2006/main" count="312" uniqueCount="264">
  <si>
    <t>Vendor Risk Assessment Workbook</t>
  </si>
  <si>
    <t>MyFirstHack Mentorship · Weekly Project 03 · Third-Party Vendor Risk Assessment</t>
  </si>
  <si>
    <t>Assess the vendor in the scenario pack by working through the tabs left to right.</t>
  </si>
  <si>
    <t>HOW TO USE THIS WORKBOOK</t>
  </si>
  <si>
    <t>1 · Vendor Profile:   record what the vendor does, the data they hold, and their subprocessors.</t>
  </si>
  <si>
    <t>2 · Tiering:          score inherent risk on four factors; the sheet returns the vendor's tier.</t>
  </si>
  <si>
    <t>3 · Questionnaire:    for each control, pick a verdict and note the evidence that led you there.</t>
  </si>
  <si>
    <t>4 · Findings:         log every gap, score likelihood x impact; the rating colours itself.</t>
  </si>
  <si>
    <t>5 · Risk Matrix:      reference for how scores become Low / Medium / High / Critical.</t>
  </si>
  <si>
    <t>6 · Decision:         your overall residual-risk view and recommendation.</t>
  </si>
  <si>
    <t>CELLS YOU FILL IN ARE SHADED YELLOW.  Everything else is a heading or a formula, so leave it alone.</t>
  </si>
  <si>
    <t>THE FOUR VERDICTS (tab 3)</t>
  </si>
  <si>
    <t>Met:            control exists and evidence proves it works.</t>
  </si>
  <si>
    <t>Partially met:  control exists but is weak, incomplete, or out of date.</t>
  </si>
  <si>
    <t>Not met:        control is absent, or claimed with no evidence at all.</t>
  </si>
  <si>
    <t>N/A:            control genuinely does not apply to this vendor.</t>
  </si>
  <si>
    <t>THE RULE: a claim with no evidence is 'Not met, unevidenced', not 'Met'.</t>
  </si>
  <si>
    <t>RATING COLOURS</t>
  </si>
  <si>
    <t xml:space="preserve">   Critical (15-25)</t>
  </si>
  <si>
    <t xml:space="preserve">   High (10-14)</t>
  </si>
  <si>
    <t xml:space="preserve">   Medium (5-9)</t>
  </si>
  <si>
    <t xml:space="preserve">   Low (1-4)</t>
  </si>
  <si>
    <t>1 · Vendor Profile &amp; Scope</t>
  </si>
  <si>
    <t>Record the basics from the scenario pack. Yellow cells are yours to complete.</t>
  </si>
  <si>
    <t>Assessment reference</t>
  </si>
  <si>
    <t>MTB-TPRM-2026-0417</t>
  </si>
  <si>
    <t>Vendor name</t>
  </si>
  <si>
    <t>Service / product</t>
  </si>
  <si>
    <t>Business process it supports</t>
  </si>
  <si>
    <t>Data types held</t>
  </si>
  <si>
    <t>Approx. records within 12 months</t>
  </si>
  <si>
    <t>Is the process critical / important?</t>
  </si>
  <si>
    <t>Hosting &amp; region(s)</t>
  </si>
  <si>
    <t>Subprocessors (fourth parties)</t>
  </si>
  <si>
    <t>Certifications claimed</t>
  </si>
  <si>
    <t>Assessor name</t>
  </si>
  <si>
    <t>Assessment date</t>
  </si>
  <si>
    <t>Example (delete when you fill yours in):</t>
  </si>
  <si>
    <t>Vendor name  →  CloudLedger Technologies Ltd</t>
  </si>
  <si>
    <t>Data types held  →  Name, address, DOB, income, bank statements, ID documents</t>
  </si>
  <si>
    <t>2 · Inherent Risk Tiering</t>
  </si>
  <si>
    <t>Score each factor 1 (low) to 5 (high) in the yellow cells. The tier is calculated for you.</t>
  </si>
  <si>
    <t>Inherent-risk factor</t>
  </si>
  <si>
    <t>Score 1-5</t>
  </si>
  <si>
    <t>Weight</t>
  </si>
  <si>
    <t>Weighted</t>
  </si>
  <si>
    <t>Data sensitivity (PII, financial, special category)</t>
  </si>
  <si>
    <t>Operational criticality (how critical / hard to pause)</t>
  </si>
  <si>
    <t>Regulatory exposure (GDPR, DORA, sector rules)</t>
  </si>
  <si>
    <t>System / network / data access granted</t>
  </si>
  <si>
    <t>Weighted inherent-risk score</t>
  </si>
  <si>
    <t>VENDOR TIER</t>
  </si>
  <si>
    <t>Score &gt;= 4.0 Critical  ·  &gt;= 3.0 High  ·  &gt;= 2.0 Medium  ·  &lt; 2.0 Low</t>
  </si>
  <si>
    <t>The tier sets the minimum evidence you require (see the bank's TPRM policy in the pack).</t>
  </si>
  <si>
    <t>3 · Due Diligence Questionnaire</t>
  </si>
  <si>
    <t>For each control: read the vendor's claim, check the evidence, then fill the yellow Verdict and Assessor note.</t>
  </si>
  <si>
    <t>Control</t>
  </si>
  <si>
    <t>Vendor claim (summary)</t>
  </si>
  <si>
    <t>Evidence ref</t>
  </si>
  <si>
    <t>Verdict</t>
  </si>
  <si>
    <t>Assessor note</t>
  </si>
  <si>
    <t>Section 1 · Governance &amp; policy</t>
  </si>
  <si>
    <t>Documented, senior-approved infosec policy</t>
  </si>
  <si>
    <t>D4</t>
  </si>
  <si>
    <t>Met</t>
  </si>
  <si>
    <t>Example: AES-256 at rest confirmed in Q3.1. Leave verdict cells like this.</t>
  </si>
  <si>
    <t>Policy reviewed at least annually</t>
  </si>
  <si>
    <t>Yes, annual review</t>
  </si>
  <si>
    <t>Named security owner</t>
  </si>
  <si>
    <t>No dedicated owner; eng leadership</t>
  </si>
  <si>
    <t>Q1.3</t>
  </si>
  <si>
    <t>Section 2 · Access control &amp; identity</t>
  </si>
  <si>
    <t>MFA on customer application</t>
  </si>
  <si>
    <t>Yes</t>
  </si>
  <si>
    <t>SOC2 / Q2.1</t>
  </si>
  <si>
    <t>MFA on admin console &amp; VPN</t>
  </si>
  <si>
    <t>Roadmap; VPN is password-only</t>
  </si>
  <si>
    <t>D1 / D3-H2</t>
  </si>
  <si>
    <t>Periodic access recertification</t>
  </si>
  <si>
    <t>Yes (claimed)</t>
  </si>
  <si>
    <t>D1 exceptions</t>
  </si>
  <si>
    <t>No shared / generic admin accounts</t>
  </si>
  <si>
    <t>Some shared accounts used</t>
  </si>
  <si>
    <t>Q2.4</t>
  </si>
  <si>
    <t>Section 3 · Data protection &amp; encryption</t>
  </si>
  <si>
    <t>Encryption at rest (AES-256)</t>
  </si>
  <si>
    <t>Q3.1</t>
  </si>
  <si>
    <t>Encryption in transit (TLS 1.2+)</t>
  </si>
  <si>
    <t>Yes, customer traffic</t>
  </si>
  <si>
    <t>Q3.2 / D3-H1</t>
  </si>
  <si>
    <t>PII processed outside UK/EEA controlled</t>
  </si>
  <si>
    <t>Offshore support has access</t>
  </si>
  <si>
    <t>B / D7</t>
  </si>
  <si>
    <t>Approved transfer mechanism (SCCs)</t>
  </si>
  <si>
    <t>Referenced, not attached</t>
  </si>
  <si>
    <t>D7</t>
  </si>
  <si>
    <t>Defined retention schedule</t>
  </si>
  <si>
    <t>'As long as necessary'</t>
  </si>
  <si>
    <t>Section 4 · Vulnerability &amp; patch mgmt</t>
  </si>
  <si>
    <t>Regular vulnerability scanning</t>
  </si>
  <si>
    <t>Yes, monthly</t>
  </si>
  <si>
    <t>Q4.1</t>
  </si>
  <si>
    <t>Annual independent pen test</t>
  </si>
  <si>
    <t>Yes (but 14 months old)</t>
  </si>
  <si>
    <t>D3</t>
  </si>
  <si>
    <t>Pen-test findings remediated in SLA</t>
  </si>
  <si>
    <t>2 High findings still open</t>
  </si>
  <si>
    <t>Section 5 · Secure development</t>
  </si>
  <si>
    <t>Secure SDLC with code review</t>
  </si>
  <si>
    <t>Yes, PR review</t>
  </si>
  <si>
    <t>Q5.1</t>
  </si>
  <si>
    <t>Environments separated</t>
  </si>
  <si>
    <t>Q5.2</t>
  </si>
  <si>
    <t>Section 6 · Logging, monitoring &amp; IR</t>
  </si>
  <si>
    <t>Documented incident response plan</t>
  </si>
  <si>
    <t>D5</t>
  </si>
  <si>
    <t>Committed breach-notification timeframe</t>
  </si>
  <si>
    <t>'Promptly', no SLA</t>
  </si>
  <si>
    <t>D5 / D7</t>
  </si>
  <si>
    <t>IR plan tested in last 12 months</t>
  </si>
  <si>
    <t>No record provided</t>
  </si>
  <si>
    <t>Section 7 · Business continuity &amp; DR</t>
  </si>
  <si>
    <t>Documented RTO / RPO</t>
  </si>
  <si>
    <t>RTO 8h / RPO 4h</t>
  </si>
  <si>
    <t>D6</t>
  </si>
  <si>
    <t>Multi-region failover</t>
  </si>
  <si>
    <t>Single region eu-west-1</t>
  </si>
  <si>
    <t>DR test in last 12 months</t>
  </si>
  <si>
    <t>Last test Feb 2024</t>
  </si>
  <si>
    <t>Section 8 · Fourth-party management</t>
  </si>
  <si>
    <t>Subprocessor list maintained</t>
  </si>
  <si>
    <t>B</t>
  </si>
  <si>
    <t>Security obligations flowed down &amp; assessed</t>
  </si>
  <si>
    <t>Not evidenced for offshore</t>
  </si>
  <si>
    <t>Q8.2</t>
  </si>
  <si>
    <t>Section 9 · Compliance &amp; assurance</t>
  </si>
  <si>
    <t>Current SOC 2 (type &amp; scope adequate)</t>
  </si>
  <si>
    <t>Type II, Security only, stale</t>
  </si>
  <si>
    <t>D1</t>
  </si>
  <si>
    <t>Current ISO 27001 (scope adequate)</t>
  </si>
  <si>
    <t>Excludes offshore; expires soon</t>
  </si>
  <si>
    <t>D2</t>
  </si>
  <si>
    <t>Right to audit granted</t>
  </si>
  <si>
    <t>No, SOC 2 offered instead</t>
  </si>
  <si>
    <t>Section 10 · Physical &amp; personnel security</t>
  </si>
  <si>
    <t>Screening of staff with data access</t>
  </si>
  <si>
    <t>UK staff yes</t>
  </si>
  <si>
    <t>Q10.1</t>
  </si>
  <si>
    <t>Screening extends to offshore prod access</t>
  </si>
  <si>
    <t>Via partner HR; not evidenced</t>
  </si>
  <si>
    <t>Q10.2</t>
  </si>
  <si>
    <t>Verdict summary</t>
  </si>
  <si>
    <t>Partially met</t>
  </si>
  <si>
    <t>Not met</t>
  </si>
  <si>
    <t>N/A</t>
  </si>
  <si>
    <t>4 · Findings Register</t>
  </si>
  <si>
    <t>Add one row per gap. Enter Likelihood and Impact (1-5). Score and Rating fill in and colour automatically.</t>
  </si>
  <si>
    <t>ID</t>
  </si>
  <si>
    <t>Domain</t>
  </si>
  <si>
    <t>Finding</t>
  </si>
  <si>
    <t>Owner</t>
  </si>
  <si>
    <t>Likelihood
1-5</t>
  </si>
  <si>
    <t>Impact
1-5</t>
  </si>
  <si>
    <t>Score</t>
  </si>
  <si>
    <t>Rating</t>
  </si>
  <si>
    <t>Recommendation</t>
  </si>
  <si>
    <t>Due date</t>
  </si>
  <si>
    <t>Status</t>
  </si>
  <si>
    <t>F1</t>
  </si>
  <si>
    <t>BC / DR (Section 7)</t>
  </si>
  <si>
    <t>No evidenced DR/failover test in &gt;12 months; single AWS region, no cross-region failover.</t>
  </si>
  <si>
    <t>Vendor</t>
  </si>
  <si>
    <t>Configure cross-region failover; run and evidence a full DR test.</t>
  </si>
  <si>
    <t>30 days</t>
  </si>
  <si>
    <t>Open</t>
  </si>
  <si>
    <t>5 · Risk Rating Matrix (Likelihood x Impact)</t>
  </si>
  <si>
    <t>Impact ↓ / Likelihood →</t>
  </si>
  <si>
    <t>1 Rare</t>
  </si>
  <si>
    <t>2 Unlikely</t>
  </si>
  <si>
    <t>3 Possible</t>
  </si>
  <si>
    <t>4 Likely</t>
  </si>
  <si>
    <t>5 Almost certain</t>
  </si>
  <si>
    <t>5 Severe</t>
  </si>
  <si>
    <t>4 Major</t>
  </si>
  <si>
    <t>3 Moderate</t>
  </si>
  <si>
    <t>2 Minor</t>
  </si>
  <si>
    <t>1 Negligible</t>
  </si>
  <si>
    <t>Rating bands</t>
  </si>
  <si>
    <t xml:space="preserve">   Low  (1-4)</t>
  </si>
  <si>
    <t xml:space="preserve">   Medium  (5-9)</t>
  </si>
  <si>
    <t xml:space="preserve">   High  (10-14)</t>
  </si>
  <si>
    <t xml:space="preserve">   Critical  (15-25)</t>
  </si>
  <si>
    <t>6 · Assessment Decision</t>
  </si>
  <si>
    <t>Pull it together. Findings counts fill in automatically; yellow cells are your judgement.</t>
  </si>
  <si>
    <t>Vendor tier</t>
  </si>
  <si>
    <t>Critical findings</t>
  </si>
  <si>
    <t>High findings</t>
  </si>
  <si>
    <t>Medium findings</t>
  </si>
  <si>
    <t>Low findings</t>
  </si>
  <si>
    <t>Overall residual risk (your view)</t>
  </si>
  <si>
    <t>Within the bank's risk appetite?</t>
  </si>
  <si>
    <t>Conditions / remediation deadline</t>
  </si>
  <si>
    <t>Accountable risk owner</t>
  </si>
  <si>
    <t>Decision date</t>
  </si>
  <si>
    <t>Reminder</t>
  </si>
  <si>
    <t>Meridian will not accept any open Critical finding on a critical-function vendor.</t>
  </si>
  <si>
    <t>The assessor recommends; the accountable risk owner decides.</t>
  </si>
  <si>
    <t>CloudLedger Technologies Ltd</t>
  </si>
  <si>
    <t>OriginateCloud (SaaS loan origination &amp; document management)</t>
  </si>
  <si>
    <t>Retail lending (personal loans and mortgage applications)</t>
  </si>
  <si>
    <t>Customer full name, address, DOB, contact details, income/employment data, bank statements, and scanned ID documents (passports/driving licenses)</t>
  </si>
  <si>
    <t>40,000+</t>
  </si>
  <si>
    <t>AWS, single region: eu-west-1 (Ireland)</t>
  </si>
  <si>
    <t>Amazon Web Services (Hosting), VerifyID Ltd (Identity Verification), MailRelay Inc. (Transactional Email), CloudLedger Support (Offshore Desk)</t>
  </si>
  <si>
    <t>SOC 2 Type II, ISO/IEC 27001</t>
  </si>
  <si>
    <t>Samuel</t>
  </si>
  <si>
    <t>Yes, policy provided, Policy is reviewed annually and approved by senior management.</t>
  </si>
  <si>
    <t>Policy document control (D4) shows it was last reviewed in January 2024, which is over two years out of date as of July 2026.</t>
  </si>
  <si>
    <t>Questionnaire response Q1.3 admits there is no dedicated security owner; document owner field on the policy control page (D4) is explicitly left blank.</t>
  </si>
  <si>
    <t>SOC 2 Type II report summary (D1) confirms that multi-factor authentication was fully tested and enforced on the user application during the audit window.</t>
  </si>
  <si>
    <t>SOC 2 report (D1) explicitly lists missing MFA on the internal administrative console as an audit exception; penetration test (D3) High finding H2 confirms it is open and exposed to the internet.</t>
  </si>
  <si>
    <t>SOC 2 report (D1) lists a testing exception: for 3 out of 12 quarters sampled, the quarterly user access review was completely missed or delayed past policy timeframes.</t>
  </si>
  <si>
    <t>Questionnaire answer Q2.4 openly admits that shared service and administrative accounts are actively used by the engineering team for day-to-day operational tasks.</t>
  </si>
  <si>
    <t>Questionnaire response Q3.1 and contractual terms summary (D7) confirm data is encrypted at rest using AWS-managed AES-256 algorithms.</t>
  </si>
  <si>
    <t>While client-facing traffic utilizes TLS 1.2+ (Q3.2), penetration test finding H1 (D3) shows deprecated TLS 1.0/1.1 protocols remain actively enabled on a legacy support endpoint past the remediation SLA.</t>
  </si>
  <si>
    <t>Vendor profile (B) confirms offshore support agents hold unrestricted production access to customer records, but this operation is completely excluded from the SOC 2 (D1) and ISO 27001 (D2) scopes.</t>
  </si>
  <si>
    <t>Contractual review (D7) shows that while Standard Contractual Clauses are named in the text, they are not attached, and no mandatory Transfer Risk Assessment (TRA) has been executed.</t>
  </si>
  <si>
    <t>Contract terms (D7) state data is held vague as 'as long as necessary to provide the service', failing to establish a concrete regulatory retention and deletion schedule.</t>
  </si>
  <si>
    <t>Questionnaire response Q4.1 claims automated scanning runs monthly; no exceptions or failures regarding internal automated scans are logged within the compliance files.</t>
  </si>
  <si>
    <t>The external penetration test document provided (D3) is dated May 2025, meaning the assessment has gone stale and sits past the strict 12-month annual requirement as of July 2026.</t>
  </si>
  <si>
    <t>Penetration test ledger (D3) reveals two High-severity findings (H1 and H2) have been left open and unmitigated, blowing completely past the corporate 90-day remediation SLA window.</t>
  </si>
  <si>
    <t>Verified via questionnaire response Q5.1; all software codebase mutations are gate-kept by strict peer pull-request review mandates prior to production merges.</t>
  </si>
  <si>
    <t>Confirmed via response Q5.2; logical architectural environment isolation boundaries are enforced directly at the AWS cloud layer.</t>
  </si>
  <si>
    <t>Incident Response Plan extract (D5) confirms a structured policy exists detailing P1–P4 severity triggers and an escalation pathway to engineering on-call groups.</t>
  </si>
  <si>
    <t>Incident policy (D5) and legal contract draft (D7) explicitly rely on ambiguous phrasing ('promptly' / 'without undue delay') rather than committing to a hard 24/48/72-hour notification SLA required by the bank.</t>
  </si>
  <si>
    <t>Incident response policy control log (D5) notes that exercises should be run 'periodically', but no record of a tabletop or live drill has been produced for the last 12 months.</t>
  </si>
  <si>
    <t>Corporate DR policy overview sheet (D6) explicitly defines and commits to operational recovery objectives of an 8-hour RTO and a 4-hour RPO.</t>
  </si>
  <si>
    <t>Architecture brief (D6) confirms the application is isolated solely within AWS Ireland (eu-west-1). Zero secondary cross-region failover capacities are configured.</t>
  </si>
  <si>
    <t>Disaster recovery ledger (D6) indicates the last partial test execution occurred back in February 2024. No comprehensive failover or validation drill has run for over 28 months.</t>
  </si>
  <si>
    <t>The vendor maintains a clear, consolidated fourth-party infrastructure map in Section B, identifying AWS, VerifyID, MailRelay, and their offshore delivery vendor.</t>
  </si>
  <si>
    <t>While baseline legal flow-downs exist for standardized hyper-scalers like AWS (Q8.2), security checks and vetting evaluations are completely unevidenced for their offshore support partner.</t>
  </si>
  <si>
    <t>The SOC 2 report (D1) is real and is a Type II, but its scope is limited strictly to the Security criterion and completely excludes the high-risk offshore operations boundary.</t>
  </si>
  <si>
    <t>The ISO certification (D2) is active until August 2026, but the official Statement of Applicability explicitly excludes the offshore customer support center from its compliance perimeter.</t>
  </si>
  <si>
    <t>DPA contractual terms audit (D7) demonstrates that a Right to Audit clause is absent; the vendor forces the customer to accept stagnant SOC 2 reports in its place.</t>
  </si>
  <si>
    <t>Questionnaire baseline documentation Q10.1 confirms that all localized UK-based corporate employees undergo full pre-employment background screening profiles.</t>
  </si>
  <si>
    <t>Questionnaire answer Q10.2 notes that background screening checks for offshore workers are offloaded entirely to a partner entity's HR group, leaving the control completely unevidenced.</t>
  </si>
  <si>
    <t>Access Control &amp; Identity (Section 2)</t>
  </si>
  <si>
    <t>The internal administrative console is reachable from the public internet with no multi-factor authentication (MFA) enforced. This is a critical exposure that has breached the vendor's 90-day remediation SLA (Pen-test finding H2).</t>
  </si>
  <si>
    <t>Vendor must restrict administrative console access to corporate IP ranges or VPN gateways and enforce mandatory MFA before live data syncing.</t>
  </si>
  <si>
    <t>Pre-onboarding</t>
  </si>
  <si>
    <t>Compliance &amp; Assurance (Section 9)</t>
  </si>
  <si>
    <t>Offshore customer support agents have full production access to customer records, but this operation is completely excluded from the scope of both the SOC 2 Type II and ISO 27001 certifications. Required Standard Contractual Clauses (SCCs) are missing from the draft agreement.</t>
  </si>
  <si>
    <t>Vendor + Bank</t>
  </si>
  <si>
    <t>The bank must legally bind the vendor to executed SCCs. The vendor must commit to expanding the scope of their next annual SOC 2/ISO audits to include the offshore facility.</t>
  </si>
  <si>
    <t>60 days post-contract</t>
  </si>
  <si>
    <t>Governance &amp; Policy (Section 1)</t>
  </si>
  <si>
    <t>The corporate Information Security Policy is stale, having last been reviewed in January 2024. The document control page lacks a defined owner and holds no record of senior management sign-off.</t>
  </si>
  <si>
    <t>Vendor must update, assign an owner, and obtain executive management sign-off for their Information Security Policy.</t>
  </si>
  <si>
    <t>90 days post-contract</t>
  </si>
  <si>
    <t>CRITICAL</t>
  </si>
  <si>
    <t>No</t>
  </si>
  <si>
    <t>Approve with conditions</t>
  </si>
  <si>
    <t>Onboarding is blocked until Critical Findings F1 (Business Continuity testing) and F2 (Exposed Administrative MFA) are fully remediated and verified via technical evidence. High and Medium findings must be resolved under contractual SLAs within 60 days of signing.</t>
  </si>
  <si>
    <t>Head of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</si>
</sst>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charset val="1"/>
    </font>
    <font>
      <b/>
      <sz val="15"/>
      <color rgb="FFFFFFFF"/>
      <name val="Arial"/>
      <charset val="1"/>
    </font>
    <font>
      <sz val="3"/>
      <color rgb="FF1C2230"/>
      <name val="Arial"/>
      <charset val="1"/>
    </font>
    <font>
      <b/>
      <sz val="10"/>
      <color rgb="FF12305A"/>
      <name val="Arial"/>
      <charset val="1"/>
    </font>
    <font>
      <sz val="10"/>
      <color rgb="FF1C2230"/>
      <name val="Arial"/>
      <charset val="1"/>
    </font>
    <font>
      <sz val="4"/>
      <color rgb="FF1C2230"/>
      <name val="Arial"/>
      <charset val="1"/>
    </font>
    <font>
      <b/>
      <sz val="11"/>
      <color rgb="FF232A3B"/>
      <name val="Arial"/>
      <charset val="1"/>
    </font>
    <font>
      <b/>
      <sz val="10"/>
      <color rgb="FFB7791F"/>
      <name val="Arial"/>
      <charset val="1"/>
    </font>
    <font>
      <b/>
      <sz val="10"/>
      <color rgb="FFC0392B"/>
      <name val="Arial"/>
      <charset val="1"/>
    </font>
    <font>
      <b/>
      <sz val="10"/>
      <color rgb="FFFFFFFF"/>
      <name val="Arial"/>
      <charset val="1"/>
    </font>
    <font>
      <b/>
      <sz val="14"/>
      <color rgb="FFFFFFFF"/>
      <name val="Arial"/>
      <charset val="1"/>
    </font>
    <font>
      <i/>
      <sz val="9.5"/>
      <color rgb="FF697089"/>
      <name val="Arial"/>
      <charset val="1"/>
    </font>
    <font>
      <b/>
      <sz val="10"/>
      <color rgb="FF1C2230"/>
      <name val="Arial"/>
      <charset val="1"/>
    </font>
    <font>
      <i/>
      <sz val="9"/>
      <color rgb="FF697089"/>
      <name val="Arial"/>
      <charset val="1"/>
    </font>
    <font>
      <sz val="9"/>
      <color rgb="FF697089"/>
      <name val="Arial"/>
      <charset val="1"/>
    </font>
    <font>
      <b/>
      <sz val="9.5"/>
      <color rgb="FFFFFFFF"/>
      <name val="Arial"/>
      <charset val="1"/>
    </font>
    <font>
      <b/>
      <sz val="11"/>
      <color rgb="FF1C2230"/>
      <name val="Arial"/>
      <charset val="1"/>
    </font>
    <font>
      <b/>
      <sz val="12"/>
      <color rgb="FFFFFFFF"/>
      <name val="Arial"/>
      <charset val="1"/>
    </font>
    <font>
      <sz val="9.5"/>
      <color rgb="FF1C2230"/>
      <name val="Arial"/>
      <charset val="1"/>
    </font>
    <font>
      <b/>
      <sz val="10"/>
      <color rgb="FF232A3B"/>
      <name val="Arial"/>
      <charset val="1"/>
    </font>
    <font>
      <b/>
      <sz val="9.5"/>
      <color rgb="FF1C2230"/>
      <name val="Arial"/>
      <charset val="1"/>
    </font>
    <font>
      <b/>
      <sz val="9"/>
      <color rgb="FFFFFFFF"/>
      <name val="Arial"/>
      <charset val="1"/>
    </font>
    <font>
      <b/>
      <sz val="11"/>
      <color rgb="FFFFFFFF"/>
      <name val="Arial"/>
      <charset val="1"/>
    </font>
    <font>
      <sz val="9.5"/>
      <color rgb="FF697089"/>
      <name val="Arial"/>
      <charset val="1"/>
    </font>
    <font>
      <sz val="8"/>
      <color theme="1"/>
      <name val="Courier New"/>
      <family val="3"/>
    </font>
    <font>
      <sz val="9.5"/>
      <color rgb="FF1C2230"/>
      <name val="Arial"/>
      <family val="2"/>
    </font>
    <font>
      <sz val="10"/>
      <color rgb="FF1C2230"/>
      <name val="Arial"/>
      <family val="2"/>
    </font>
  </fonts>
  <fills count="12">
    <fill>
      <patternFill patternType="none"/>
    </fill>
    <fill>
      <patternFill patternType="gray125"/>
    </fill>
    <fill>
      <patternFill patternType="solid">
        <fgColor rgb="FF12305A"/>
        <bgColor rgb="FF232A3B"/>
      </patternFill>
    </fill>
    <fill>
      <patternFill patternType="solid">
        <fgColor rgb="FFA01F1F"/>
        <bgColor rgb="FFC0392B"/>
      </patternFill>
    </fill>
    <fill>
      <patternFill patternType="solid">
        <fgColor rgb="FFC0392B"/>
        <bgColor rgb="FFA01F1F"/>
      </patternFill>
    </fill>
    <fill>
      <patternFill patternType="solid">
        <fgColor rgb="FFC98A12"/>
        <bgColor rgb="FFB7791F"/>
      </patternFill>
    </fill>
    <fill>
      <patternFill patternType="solid">
        <fgColor rgb="FF1A7F4B"/>
        <bgColor rgb="FF008080"/>
      </patternFill>
    </fill>
    <fill>
      <patternFill patternType="solid">
        <fgColor rgb="FFEEF1F7"/>
        <bgColor rgb="FFEEF4FF"/>
      </patternFill>
    </fill>
    <fill>
      <patternFill patternType="solid">
        <fgColor rgb="FFFFF7D6"/>
        <bgColor rgb="FFFFFFFF"/>
      </patternFill>
    </fill>
    <fill>
      <patternFill patternType="solid">
        <fgColor rgb="FF232A3B"/>
        <bgColor rgb="FF1C2230"/>
      </patternFill>
    </fill>
    <fill>
      <patternFill patternType="solid">
        <fgColor rgb="FFEEF4FF"/>
        <bgColor rgb="FFEEF1F7"/>
      </patternFill>
    </fill>
    <fill>
      <patternFill patternType="solid">
        <fgColor rgb="FF697089"/>
        <bgColor rgb="FF808080"/>
      </patternFill>
    </fill>
  </fills>
  <borders count="2">
    <border>
      <left/>
      <right/>
      <top/>
      <bottom/>
      <diagonal/>
    </border>
    <border>
      <left style="thin">
        <color rgb="FFD5D9E3"/>
      </left>
      <right style="thin">
        <color rgb="FFD5D9E3"/>
      </right>
      <top style="thin">
        <color rgb="FFD5D9E3"/>
      </top>
      <bottom style="thin">
        <color rgb="FFD5D9E3"/>
      </bottom>
      <diagonal/>
    </border>
  </borders>
  <cellStyleXfs count="1">
    <xf numFmtId="0" fontId="0" fillId="0" borderId="0"/>
  </cellStyleXfs>
  <cellXfs count="56">
    <xf numFmtId="0" fontId="0" fillId="0" borderId="0" xfId="0"/>
    <xf numFmtId="0" fontId="3" fillId="10" borderId="1" xfId="0" applyFont="1" applyFill="1" applyBorder="1" applyAlignment="1">
      <alignment horizontal="left" vertical="center" indent="1"/>
    </xf>
    <xf numFmtId="0" fontId="17" fillId="0" borderId="1" xfId="0" applyFont="1" applyBorder="1" applyAlignment="1">
      <alignment horizontal="center" vertical="center" wrapText="1"/>
    </xf>
    <xf numFmtId="0" fontId="10" fillId="2" borderId="0" xfId="0" applyFont="1" applyFill="1" applyAlignment="1">
      <alignment horizontal="left" vertical="center" indent="1"/>
    </xf>
    <xf numFmtId="0" fontId="1" fillId="2" borderId="0" xfId="0" applyFont="1" applyFill="1" applyAlignment="1">
      <alignment horizontal="left" vertical="center" inden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3" borderId="0" xfId="0" applyFont="1" applyFill="1" applyAlignment="1">
      <alignment horizontal="left" vertical="center" indent="1"/>
    </xf>
    <xf numFmtId="0" fontId="9" fillId="4" borderId="0" xfId="0" applyFont="1" applyFill="1" applyAlignment="1">
      <alignment horizontal="left" vertical="center" indent="1"/>
    </xf>
    <xf numFmtId="0" fontId="9" fillId="5" borderId="0" xfId="0" applyFont="1" applyFill="1" applyAlignment="1">
      <alignment horizontal="left" vertical="center" indent="1"/>
    </xf>
    <xf numFmtId="0" fontId="9" fillId="6" borderId="0" xfId="0" applyFont="1" applyFill="1" applyAlignment="1">
      <alignment horizontal="left" vertical="center" indent="1"/>
    </xf>
    <xf numFmtId="0" fontId="11" fillId="0" borderId="0" xfId="0" applyFont="1" applyAlignment="1">
      <alignment horizontal="left" vertical="top" wrapText="1"/>
    </xf>
    <xf numFmtId="0" fontId="12"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5" fillId="9" borderId="1" xfId="0" applyFont="1" applyFill="1" applyBorder="1" applyAlignment="1">
      <alignment horizontal="center" vertical="center" wrapText="1"/>
    </xf>
    <xf numFmtId="0" fontId="4" fillId="0" borderId="1" xfId="0" applyFont="1" applyBorder="1" applyAlignment="1">
      <alignment horizontal="left" vertical="top" wrapText="1"/>
    </xf>
    <xf numFmtId="0" fontId="12" fillId="8" borderId="1" xfId="0" applyFont="1" applyFill="1" applyBorder="1" applyAlignment="1">
      <alignment horizontal="center" vertical="center" wrapText="1"/>
    </xf>
    <xf numFmtId="9"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0" fontId="0" fillId="7" borderId="1" xfId="0" applyFill="1" applyBorder="1"/>
    <xf numFmtId="9" fontId="12" fillId="7" borderId="1" xfId="0" applyNumberFormat="1" applyFont="1" applyFill="1" applyBorder="1" applyAlignment="1">
      <alignment horizontal="center" vertical="center" wrapText="1"/>
    </xf>
    <xf numFmtId="2" fontId="16" fillId="7" borderId="1" xfId="0" applyNumberFormat="1" applyFont="1" applyFill="1" applyBorder="1" applyAlignment="1">
      <alignment horizontal="center" vertical="center" wrapText="1"/>
    </xf>
    <xf numFmtId="0" fontId="18" fillId="0" borderId="1" xfId="0" applyFont="1" applyBorder="1" applyAlignment="1">
      <alignment horizontal="left" vertical="top" wrapText="1"/>
    </xf>
    <xf numFmtId="0" fontId="18" fillId="0" borderId="1" xfId="0" applyFont="1" applyBorder="1" applyAlignment="1">
      <alignment horizontal="center" vertical="center" wrapText="1"/>
    </xf>
    <xf numFmtId="0" fontId="4" fillId="8" borderId="1" xfId="0" applyFont="1" applyFill="1" applyBorder="1" applyAlignment="1">
      <alignment horizontal="center" vertical="center" wrapText="1"/>
    </xf>
    <xf numFmtId="0" fontId="18" fillId="8" borderId="1" xfId="0" applyFont="1" applyFill="1" applyBorder="1" applyAlignment="1">
      <alignment horizontal="left" vertical="top" wrapText="1"/>
    </xf>
    <xf numFmtId="0" fontId="19" fillId="0" borderId="0" xfId="0" applyFont="1" applyAlignment="1">
      <alignment horizontal="left" vertical="top" wrapText="1"/>
    </xf>
    <xf numFmtId="0" fontId="9" fillId="6" borderId="1" xfId="0" applyFont="1" applyFill="1" applyBorder="1" applyAlignment="1">
      <alignment horizontal="left" vertical="center" indent="1"/>
    </xf>
    <xf numFmtId="0" fontId="12" fillId="0" borderId="1" xfId="0" applyFont="1" applyBorder="1" applyAlignment="1">
      <alignment horizontal="center" vertical="center" wrapText="1"/>
    </xf>
    <xf numFmtId="0" fontId="9" fillId="5" borderId="1" xfId="0" applyFont="1" applyFill="1" applyBorder="1" applyAlignment="1">
      <alignment horizontal="left" vertical="center" indent="1"/>
    </xf>
    <xf numFmtId="0" fontId="9" fillId="4" borderId="1" xfId="0" applyFont="1" applyFill="1" applyBorder="1" applyAlignment="1">
      <alignment horizontal="left" vertical="center" indent="1"/>
    </xf>
    <xf numFmtId="0" fontId="9" fillId="11" borderId="1" xfId="0" applyFont="1" applyFill="1" applyBorder="1" applyAlignment="1">
      <alignment horizontal="left" vertical="center" indent="1"/>
    </xf>
    <xf numFmtId="0" fontId="18" fillId="8" borderId="1" xfId="0" applyFont="1" applyFill="1" applyBorder="1" applyAlignment="1">
      <alignment horizontal="center" vertical="center"/>
    </xf>
    <xf numFmtId="0" fontId="20" fillId="0" borderId="1" xfId="0" applyFont="1" applyBorder="1" applyAlignment="1">
      <alignment horizontal="center" vertical="center"/>
    </xf>
    <xf numFmtId="0" fontId="21" fillId="9"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3" fillId="0" borderId="1" xfId="0" applyFont="1" applyBorder="1" applyAlignment="1">
      <alignment horizontal="left" vertical="top" wrapText="1"/>
    </xf>
    <xf numFmtId="0" fontId="23" fillId="0" borderId="0" xfId="0" applyFont="1" applyAlignment="1">
      <alignment horizontal="left" vertical="top" wrapText="1"/>
    </xf>
    <xf numFmtId="14" fontId="4" fillId="8" borderId="1" xfId="0" applyNumberFormat="1" applyFont="1" applyFill="1" applyBorder="1" applyAlignment="1">
      <alignment horizontal="left" vertical="top" wrapText="1"/>
    </xf>
    <xf numFmtId="0" fontId="24" fillId="0" borderId="0" xfId="0" applyFont="1"/>
    <xf numFmtId="0" fontId="25" fillId="8" borderId="1" xfId="0" applyFont="1" applyFill="1" applyBorder="1" applyAlignment="1">
      <alignment horizontal="left" vertical="top" wrapText="1"/>
    </xf>
    <xf numFmtId="0" fontId="26" fillId="8"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horizontal="left" vertical="top" wrapText="1"/>
    </xf>
    <xf numFmtId="0" fontId="25" fillId="8" borderId="1" xfId="0" applyFont="1" applyFill="1" applyBorder="1" applyAlignment="1">
      <alignment horizontal="center" vertical="center"/>
    </xf>
    <xf numFmtId="0" fontId="26" fillId="8" borderId="1" xfId="0" applyFont="1" applyFill="1" applyBorder="1" applyAlignment="1">
      <alignment horizontal="left" vertical="top" wrapText="1"/>
    </xf>
  </cellXfs>
  <cellStyles count="1">
    <cellStyle name="Normal" xfId="0" builtinId="0"/>
  </cellStyles>
  <dxfs count="8">
    <dxf>
      <font>
        <b/>
        <sz val="9"/>
        <color rgb="FFFFFFFF"/>
        <name val="Arial"/>
        <charset val="1"/>
      </font>
      <fill>
        <patternFill>
          <bgColor rgb="FF1A7F4B"/>
        </patternFill>
      </fill>
    </dxf>
    <dxf>
      <font>
        <b/>
        <sz val="9"/>
        <color rgb="FFFFFFFF"/>
        <name val="Arial"/>
        <charset val="1"/>
      </font>
      <fill>
        <patternFill>
          <bgColor rgb="FFC98A12"/>
        </patternFill>
      </fill>
    </dxf>
    <dxf>
      <font>
        <b/>
        <sz val="9"/>
        <color rgb="FFFFFFFF"/>
        <name val="Arial"/>
        <charset val="1"/>
      </font>
      <fill>
        <patternFill>
          <bgColor rgb="FFC0392B"/>
        </patternFill>
      </fill>
    </dxf>
    <dxf>
      <font>
        <b/>
        <sz val="9"/>
        <color rgb="FFFFFFFF"/>
        <name val="Arial"/>
        <charset val="1"/>
      </font>
      <fill>
        <patternFill>
          <bgColor rgb="FFA01F1F"/>
        </patternFill>
      </fill>
    </dxf>
    <dxf>
      <font>
        <b/>
        <sz val="12"/>
        <color rgb="FFFFFFFF"/>
        <name val="Arial"/>
        <charset val="1"/>
      </font>
      <fill>
        <patternFill>
          <bgColor rgb="FF1A7F4B"/>
        </patternFill>
      </fill>
    </dxf>
    <dxf>
      <font>
        <b/>
        <sz val="12"/>
        <color rgb="FFFFFFFF"/>
        <name val="Arial"/>
        <charset val="1"/>
      </font>
      <fill>
        <patternFill>
          <bgColor rgb="FFC98A12"/>
        </patternFill>
      </fill>
    </dxf>
    <dxf>
      <font>
        <b/>
        <sz val="12"/>
        <color rgb="FFFFFFFF"/>
        <name val="Arial"/>
        <charset val="1"/>
      </font>
      <fill>
        <patternFill>
          <bgColor rgb="FFC0392B"/>
        </patternFill>
      </fill>
    </dxf>
    <dxf>
      <font>
        <b/>
        <sz val="12"/>
        <color rgb="FFFFFFFF"/>
        <name val="Arial"/>
        <charset val="1"/>
      </font>
      <fill>
        <patternFill>
          <bgColor rgb="FFA01F1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1A7F4B"/>
      <rgbColor rgb="FFC0C0C0"/>
      <rgbColor rgb="FF808080"/>
      <rgbColor rgb="FF9999FF"/>
      <rgbColor rgb="FFC0392B"/>
      <rgbColor rgb="FFFFF7D6"/>
      <rgbColor rgb="FFEEF4FF"/>
      <rgbColor rgb="FF660066"/>
      <rgbColor rgb="FFFF8080"/>
      <rgbColor rgb="FF0066CC"/>
      <rgbColor rgb="FFD5D9E3"/>
      <rgbColor rgb="FF000080"/>
      <rgbColor rgb="FFFF00FF"/>
      <rgbColor rgb="FFFFFF00"/>
      <rgbColor rgb="FF00FFFF"/>
      <rgbColor rgb="FF800080"/>
      <rgbColor rgb="FF800000"/>
      <rgbColor rgb="FF008080"/>
      <rgbColor rgb="FF0000FF"/>
      <rgbColor rgb="FF00CCFF"/>
      <rgbColor rgb="FFEEF1F7"/>
      <rgbColor rgb="FFCCFFCC"/>
      <rgbColor rgb="FFFFFF99"/>
      <rgbColor rgb="FF99CCFF"/>
      <rgbColor rgb="FFFF99CC"/>
      <rgbColor rgb="FFCC99FF"/>
      <rgbColor rgb="FFFFCC99"/>
      <rgbColor rgb="FF3366FF"/>
      <rgbColor rgb="FF33CCCC"/>
      <rgbColor rgb="FF99CC00"/>
      <rgbColor rgb="FFFFCC00"/>
      <rgbColor rgb="FFC98A12"/>
      <rgbColor rgb="FFFF6600"/>
      <rgbColor rgb="FF697089"/>
      <rgbColor rgb="FF969696"/>
      <rgbColor rgb="FF12305A"/>
      <rgbColor rgb="FF339966"/>
      <rgbColor rgb="FF003300"/>
      <rgbColor rgb="FF1C2230"/>
      <rgbColor rgb="FFA01F1F"/>
      <rgbColor rgb="FF993366"/>
      <rgbColor rgb="FF333399"/>
      <rgbColor rgb="FF232A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9"/>
  <sheetViews>
    <sheetView showGridLines="0" zoomScaleNormal="100" workbookViewId="0"/>
  </sheetViews>
  <sheetFormatPr defaultColWidth="8.6328125" defaultRowHeight="14.5" x14ac:dyDescent="0.35"/>
  <cols>
    <col min="1" max="1" width="3" customWidth="1"/>
    <col min="2" max="2" width="96" customWidth="1"/>
  </cols>
  <sheetData>
    <row r="2" spans="1:3" ht="30" customHeight="1" x14ac:dyDescent="0.35">
      <c r="A2" s="4" t="s">
        <v>0</v>
      </c>
      <c r="B2" s="4"/>
      <c r="C2" s="4"/>
    </row>
    <row r="3" spans="1:3" x14ac:dyDescent="0.35">
      <c r="B3" s="5"/>
    </row>
    <row r="4" spans="1:3" x14ac:dyDescent="0.35">
      <c r="B4" s="6" t="s">
        <v>1</v>
      </c>
    </row>
    <row r="5" spans="1:3" x14ac:dyDescent="0.35">
      <c r="B5" s="7" t="s">
        <v>2</v>
      </c>
    </row>
    <row r="6" spans="1:3" x14ac:dyDescent="0.35">
      <c r="B6" s="8"/>
    </row>
    <row r="7" spans="1:3" x14ac:dyDescent="0.35">
      <c r="B7" s="9" t="s">
        <v>3</v>
      </c>
    </row>
    <row r="8" spans="1:3" x14ac:dyDescent="0.35">
      <c r="B8" s="7" t="s">
        <v>4</v>
      </c>
    </row>
    <row r="9" spans="1:3" x14ac:dyDescent="0.35">
      <c r="B9" s="7" t="s">
        <v>5</v>
      </c>
    </row>
    <row r="10" spans="1:3" x14ac:dyDescent="0.35">
      <c r="B10" s="7" t="s">
        <v>6</v>
      </c>
    </row>
    <row r="11" spans="1:3" x14ac:dyDescent="0.35">
      <c r="B11" s="7" t="s">
        <v>7</v>
      </c>
    </row>
    <row r="12" spans="1:3" x14ac:dyDescent="0.35">
      <c r="B12" s="7" t="s">
        <v>8</v>
      </c>
    </row>
    <row r="13" spans="1:3" x14ac:dyDescent="0.35">
      <c r="B13" s="7" t="s">
        <v>9</v>
      </c>
    </row>
    <row r="14" spans="1:3" x14ac:dyDescent="0.35">
      <c r="B14" s="8"/>
    </row>
    <row r="15" spans="1:3" x14ac:dyDescent="0.35">
      <c r="B15" s="10" t="s">
        <v>10</v>
      </c>
    </row>
    <row r="16" spans="1:3" x14ac:dyDescent="0.35">
      <c r="B16" s="8"/>
    </row>
    <row r="17" spans="2:2" x14ac:dyDescent="0.35">
      <c r="B17" s="9" t="s">
        <v>11</v>
      </c>
    </row>
    <row r="18" spans="2:2" x14ac:dyDescent="0.35">
      <c r="B18" s="7" t="s">
        <v>12</v>
      </c>
    </row>
    <row r="19" spans="2:2" x14ac:dyDescent="0.35">
      <c r="B19" s="7" t="s">
        <v>13</v>
      </c>
    </row>
    <row r="20" spans="2:2" x14ac:dyDescent="0.35">
      <c r="B20" s="7" t="s">
        <v>14</v>
      </c>
    </row>
    <row r="21" spans="2:2" x14ac:dyDescent="0.35">
      <c r="B21" s="7" t="s">
        <v>15</v>
      </c>
    </row>
    <row r="22" spans="2:2" x14ac:dyDescent="0.35">
      <c r="B22" s="8"/>
    </row>
    <row r="23" spans="2:2" x14ac:dyDescent="0.35">
      <c r="B23" s="11" t="s">
        <v>16</v>
      </c>
    </row>
    <row r="25" spans="2:2" x14ac:dyDescent="0.35">
      <c r="B25" s="9" t="s">
        <v>17</v>
      </c>
    </row>
    <row r="26" spans="2:2" ht="19.5" customHeight="1" x14ac:dyDescent="0.35">
      <c r="B26" s="12" t="s">
        <v>18</v>
      </c>
    </row>
    <row r="27" spans="2:2" ht="19.5" customHeight="1" x14ac:dyDescent="0.35">
      <c r="B27" s="13" t="s">
        <v>19</v>
      </c>
    </row>
    <row r="28" spans="2:2" ht="19.5" customHeight="1" x14ac:dyDescent="0.35">
      <c r="B28" s="14" t="s">
        <v>20</v>
      </c>
    </row>
    <row r="29" spans="2:2" ht="19.5" customHeight="1" x14ac:dyDescent="0.35">
      <c r="B29" s="15" t="s">
        <v>21</v>
      </c>
    </row>
  </sheetData>
  <mergeCells count="1">
    <mergeCell ref="A2:C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20"/>
  <sheetViews>
    <sheetView showGridLines="0" topLeftCell="A3" zoomScaleNormal="100" workbookViewId="0">
      <selection activeCell="C16" sqref="C16"/>
    </sheetView>
  </sheetViews>
  <sheetFormatPr defaultColWidth="8.6328125" defaultRowHeight="14.5" x14ac:dyDescent="0.35"/>
  <cols>
    <col min="1" max="1" width="3" customWidth="1"/>
    <col min="2" max="2" width="34" customWidth="1"/>
    <col min="3" max="3" width="66" customWidth="1"/>
  </cols>
  <sheetData>
    <row r="2" spans="1:4" ht="30" customHeight="1" x14ac:dyDescent="0.35">
      <c r="A2" s="3" t="s">
        <v>22</v>
      </c>
      <c r="B2" s="3"/>
      <c r="C2" s="3"/>
      <c r="D2" s="3"/>
    </row>
    <row r="3" spans="1:4" ht="25" x14ac:dyDescent="0.35">
      <c r="B3" s="16" t="s">
        <v>23</v>
      </c>
    </row>
    <row r="5" spans="1:4" ht="25.5" customHeight="1" x14ac:dyDescent="0.35">
      <c r="B5" s="17" t="s">
        <v>24</v>
      </c>
      <c r="C5" s="18" t="s">
        <v>25</v>
      </c>
    </row>
    <row r="6" spans="1:4" ht="25.5" customHeight="1" x14ac:dyDescent="0.35">
      <c r="B6" s="17" t="s">
        <v>26</v>
      </c>
      <c r="C6" s="18" t="s">
        <v>207</v>
      </c>
    </row>
    <row r="7" spans="1:4" ht="25.5" customHeight="1" x14ac:dyDescent="0.35">
      <c r="B7" s="17" t="s">
        <v>27</v>
      </c>
      <c r="C7" s="18" t="s">
        <v>208</v>
      </c>
    </row>
    <row r="8" spans="1:4" ht="25.5" customHeight="1" x14ac:dyDescent="0.35">
      <c r="B8" s="17" t="s">
        <v>28</v>
      </c>
      <c r="C8" s="18" t="s">
        <v>209</v>
      </c>
    </row>
    <row r="9" spans="1:4" ht="25.5" customHeight="1" x14ac:dyDescent="0.35">
      <c r="B9" s="17" t="s">
        <v>29</v>
      </c>
      <c r="C9" s="18" t="s">
        <v>210</v>
      </c>
    </row>
    <row r="10" spans="1:4" ht="25.5" customHeight="1" x14ac:dyDescent="0.35">
      <c r="B10" s="17" t="s">
        <v>30</v>
      </c>
      <c r="C10" s="18" t="s">
        <v>211</v>
      </c>
    </row>
    <row r="11" spans="1:4" ht="25.5" customHeight="1" x14ac:dyDescent="0.35">
      <c r="B11" s="17" t="s">
        <v>31</v>
      </c>
      <c r="C11" s="18" t="s">
        <v>73</v>
      </c>
    </row>
    <row r="12" spans="1:4" ht="25.5" customHeight="1" x14ac:dyDescent="0.35">
      <c r="B12" s="17" t="s">
        <v>32</v>
      </c>
      <c r="C12" s="18" t="s">
        <v>212</v>
      </c>
    </row>
    <row r="13" spans="1:4" ht="25.5" customHeight="1" x14ac:dyDescent="0.35">
      <c r="B13" s="17" t="s">
        <v>33</v>
      </c>
      <c r="C13" s="18" t="s">
        <v>213</v>
      </c>
    </row>
    <row r="14" spans="1:4" ht="25.5" customHeight="1" x14ac:dyDescent="0.35">
      <c r="B14" s="17" t="s">
        <v>34</v>
      </c>
      <c r="C14" s="18" t="s">
        <v>214</v>
      </c>
    </row>
    <row r="15" spans="1:4" ht="25.5" customHeight="1" x14ac:dyDescent="0.35">
      <c r="B15" s="17" t="s">
        <v>35</v>
      </c>
      <c r="C15" s="18" t="s">
        <v>215</v>
      </c>
    </row>
    <row r="16" spans="1:4" ht="25.5" customHeight="1" x14ac:dyDescent="0.35">
      <c r="B16" s="17" t="s">
        <v>36</v>
      </c>
      <c r="C16" s="48">
        <v>46221</v>
      </c>
    </row>
    <row r="18" spans="2:2" x14ac:dyDescent="0.35">
      <c r="B18" s="19" t="s">
        <v>37</v>
      </c>
    </row>
    <row r="19" spans="2:2" ht="23" x14ac:dyDescent="0.35">
      <c r="B19" s="20" t="s">
        <v>38</v>
      </c>
    </row>
    <row r="20" spans="2:2" ht="23" x14ac:dyDescent="0.35">
      <c r="B20" s="20" t="s">
        <v>39</v>
      </c>
    </row>
  </sheetData>
  <mergeCells count="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5"/>
  <sheetViews>
    <sheetView showGridLines="0" zoomScaleNormal="100" workbookViewId="0">
      <selection activeCell="C6" sqref="C6"/>
    </sheetView>
  </sheetViews>
  <sheetFormatPr defaultColWidth="8.6328125" defaultRowHeight="14.5" x14ac:dyDescent="0.35"/>
  <cols>
    <col min="1" max="1" width="3" customWidth="1"/>
    <col min="2" max="2" width="40" customWidth="1"/>
    <col min="3" max="4" width="12" customWidth="1"/>
    <col min="5" max="5" width="16" customWidth="1"/>
  </cols>
  <sheetData>
    <row r="2" spans="1:5" ht="30" customHeight="1" x14ac:dyDescent="0.35">
      <c r="A2" s="3" t="s">
        <v>40</v>
      </c>
      <c r="B2" s="3"/>
      <c r="C2" s="3"/>
      <c r="D2" s="3"/>
      <c r="E2" s="3"/>
    </row>
    <row r="3" spans="1:5" ht="25" x14ac:dyDescent="0.35">
      <c r="B3" s="16" t="s">
        <v>41</v>
      </c>
    </row>
    <row r="5" spans="1:5" x14ac:dyDescent="0.35">
      <c r="B5" s="21" t="s">
        <v>42</v>
      </c>
      <c r="C5" s="21" t="s">
        <v>43</v>
      </c>
      <c r="D5" s="21" t="s">
        <v>44</v>
      </c>
      <c r="E5" s="21" t="s">
        <v>45</v>
      </c>
    </row>
    <row r="6" spans="1:5" x14ac:dyDescent="0.35">
      <c r="B6" s="22" t="s">
        <v>46</v>
      </c>
      <c r="C6" s="23">
        <v>5</v>
      </c>
      <c r="D6" s="24">
        <v>0.35</v>
      </c>
      <c r="E6" s="25">
        <f>C6*D6</f>
        <v>1.75</v>
      </c>
    </row>
    <row r="7" spans="1:5" ht="25" x14ac:dyDescent="0.35">
      <c r="B7" s="22" t="s">
        <v>47</v>
      </c>
      <c r="C7" s="23">
        <v>5</v>
      </c>
      <c r="D7" s="24">
        <v>0.3</v>
      </c>
      <c r="E7" s="25">
        <f>C7*D7</f>
        <v>1.5</v>
      </c>
    </row>
    <row r="8" spans="1:5" ht="25" x14ac:dyDescent="0.35">
      <c r="B8" s="22" t="s">
        <v>48</v>
      </c>
      <c r="C8" s="23">
        <v>5</v>
      </c>
      <c r="D8" s="24">
        <v>0.2</v>
      </c>
      <c r="E8" s="25">
        <f>C8*D8</f>
        <v>1</v>
      </c>
    </row>
    <row r="9" spans="1:5" x14ac:dyDescent="0.35">
      <c r="B9" s="22" t="s">
        <v>49</v>
      </c>
      <c r="C9" s="23">
        <v>4</v>
      </c>
      <c r="D9" s="24">
        <v>0.15</v>
      </c>
      <c r="E9" s="25">
        <f>C9*D9</f>
        <v>0.6</v>
      </c>
    </row>
    <row r="10" spans="1:5" x14ac:dyDescent="0.35">
      <c r="B10" s="17" t="s">
        <v>50</v>
      </c>
      <c r="C10" s="26"/>
      <c r="D10" s="27">
        <f>SUM(D6:D9)</f>
        <v>0.99999999999999989</v>
      </c>
      <c r="E10" s="28">
        <f>SUM(E6:E9)</f>
        <v>4.8499999999999996</v>
      </c>
    </row>
    <row r="12" spans="1:5" ht="27.75" customHeight="1" x14ac:dyDescent="0.35">
      <c r="B12" s="9" t="s">
        <v>51</v>
      </c>
      <c r="C12" s="2" t="str">
        <f>IF(E10&gt;=4,"CRITICAL",IF(E10&gt;=3,"HIGH",IF(E10&gt;=2,"MEDIUM","LOW")))</f>
        <v>CRITICAL</v>
      </c>
      <c r="D12" s="2"/>
      <c r="E12" s="2"/>
    </row>
    <row r="14" spans="1:5" ht="24" x14ac:dyDescent="0.35">
      <c r="B14" s="19" t="s">
        <v>52</v>
      </c>
    </row>
    <row r="15" spans="1:5" ht="24" x14ac:dyDescent="0.35">
      <c r="B15" s="19" t="s">
        <v>53</v>
      </c>
    </row>
  </sheetData>
  <mergeCells count="2">
    <mergeCell ref="A2:E2"/>
    <mergeCell ref="C12:E12"/>
  </mergeCells>
  <conditionalFormatting sqref="C12:E12">
    <cfRule type="cellIs" dxfId="7" priority="2" operator="equal">
      <formula>"CRITICAL"</formula>
    </cfRule>
    <cfRule type="cellIs" dxfId="6" priority="3" operator="equal">
      <formula>"HIGH"</formula>
    </cfRule>
    <cfRule type="cellIs" dxfId="5" priority="4" operator="equal">
      <formula>"MEDIUM"</formula>
    </cfRule>
    <cfRule type="cellIs" dxfId="4" priority="5" operator="equal">
      <formula>"LOW"</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51"/>
  <sheetViews>
    <sheetView showGridLines="0" topLeftCell="A15" zoomScaleNormal="100" workbookViewId="0">
      <selection activeCell="E26" sqref="E26"/>
    </sheetView>
  </sheetViews>
  <sheetFormatPr defaultColWidth="8.6328125" defaultRowHeight="14.5" x14ac:dyDescent="0.35"/>
  <cols>
    <col min="1" max="1" width="3" customWidth="1"/>
    <col min="2" max="2" width="40" customWidth="1"/>
    <col min="3" max="3" width="30" customWidth="1"/>
    <col min="4" max="5" width="16" customWidth="1"/>
    <col min="6" max="6" width="34" customWidth="1"/>
  </cols>
  <sheetData>
    <row r="2" spans="1:6" ht="30" customHeight="1" x14ac:dyDescent="0.35">
      <c r="A2" s="3" t="s">
        <v>54</v>
      </c>
      <c r="B2" s="3"/>
      <c r="C2" s="3"/>
      <c r="D2" s="3"/>
      <c r="E2" s="3"/>
      <c r="F2" s="3"/>
    </row>
    <row r="3" spans="1:6" ht="37.5" x14ac:dyDescent="0.35">
      <c r="B3" s="16" t="s">
        <v>55</v>
      </c>
    </row>
    <row r="5" spans="1:6" x14ac:dyDescent="0.35">
      <c r="B5" s="21" t="s">
        <v>56</v>
      </c>
      <c r="C5" s="21" t="s">
        <v>57</v>
      </c>
      <c r="D5" s="21" t="s">
        <v>58</v>
      </c>
      <c r="E5" s="21" t="s">
        <v>59</v>
      </c>
      <c r="F5" s="21" t="s">
        <v>60</v>
      </c>
    </row>
    <row r="6" spans="1:6" ht="19.5" customHeight="1" x14ac:dyDescent="0.35">
      <c r="B6" s="1" t="s">
        <v>61</v>
      </c>
      <c r="C6" s="1"/>
      <c r="D6" s="1"/>
      <c r="E6" s="1"/>
      <c r="F6" s="1"/>
    </row>
    <row r="7" spans="1:6" ht="24" customHeight="1" x14ac:dyDescent="0.35">
      <c r="B7" s="22" t="s">
        <v>62</v>
      </c>
      <c r="C7" s="29" t="s">
        <v>216</v>
      </c>
      <c r="D7" s="30" t="s">
        <v>63</v>
      </c>
      <c r="E7" s="31" t="s">
        <v>152</v>
      </c>
      <c r="F7" s="32" t="s">
        <v>65</v>
      </c>
    </row>
    <row r="8" spans="1:6" ht="24" customHeight="1" x14ac:dyDescent="0.35">
      <c r="B8" s="22" t="s">
        <v>66</v>
      </c>
      <c r="C8" s="29" t="s">
        <v>67</v>
      </c>
      <c r="D8" s="30" t="s">
        <v>63</v>
      </c>
      <c r="E8" s="31" t="s">
        <v>152</v>
      </c>
      <c r="F8" s="32" t="s">
        <v>217</v>
      </c>
    </row>
    <row r="9" spans="1:6" ht="24" customHeight="1" x14ac:dyDescent="0.35">
      <c r="B9" s="22" t="s">
        <v>68</v>
      </c>
      <c r="C9" s="29" t="s">
        <v>69</v>
      </c>
      <c r="D9" s="30" t="s">
        <v>70</v>
      </c>
      <c r="E9" s="31" t="s">
        <v>153</v>
      </c>
      <c r="F9" s="32" t="s">
        <v>218</v>
      </c>
    </row>
    <row r="10" spans="1:6" ht="19.5" customHeight="1" x14ac:dyDescent="0.35">
      <c r="B10" s="1" t="s">
        <v>71</v>
      </c>
      <c r="C10" s="1"/>
      <c r="D10" s="1"/>
      <c r="E10" s="1"/>
      <c r="F10" s="1"/>
    </row>
    <row r="11" spans="1:6" ht="24" customHeight="1" x14ac:dyDescent="0.35">
      <c r="B11" s="22" t="s">
        <v>72</v>
      </c>
      <c r="C11" s="29" t="s">
        <v>73</v>
      </c>
      <c r="D11" s="30" t="s">
        <v>74</v>
      </c>
      <c r="E11" s="31" t="s">
        <v>64</v>
      </c>
      <c r="F11" s="32" t="s">
        <v>219</v>
      </c>
    </row>
    <row r="12" spans="1:6" ht="24" customHeight="1" x14ac:dyDescent="0.35">
      <c r="B12" s="22" t="s">
        <v>75</v>
      </c>
      <c r="C12" s="29" t="s">
        <v>76</v>
      </c>
      <c r="D12" s="30" t="s">
        <v>77</v>
      </c>
      <c r="E12" s="31" t="s">
        <v>153</v>
      </c>
      <c r="F12" s="32" t="s">
        <v>220</v>
      </c>
    </row>
    <row r="13" spans="1:6" ht="24" customHeight="1" x14ac:dyDescent="0.35">
      <c r="B13" s="22" t="s">
        <v>78</v>
      </c>
      <c r="C13" s="29" t="s">
        <v>79</v>
      </c>
      <c r="D13" s="30" t="s">
        <v>80</v>
      </c>
      <c r="E13" s="31" t="s">
        <v>152</v>
      </c>
      <c r="F13" s="32" t="s">
        <v>221</v>
      </c>
    </row>
    <row r="14" spans="1:6" ht="24" customHeight="1" x14ac:dyDescent="0.35">
      <c r="B14" s="22" t="s">
        <v>81</v>
      </c>
      <c r="C14" s="29" t="s">
        <v>82</v>
      </c>
      <c r="D14" s="30" t="s">
        <v>83</v>
      </c>
      <c r="E14" s="31" t="s">
        <v>153</v>
      </c>
      <c r="F14" s="32" t="s">
        <v>222</v>
      </c>
    </row>
    <row r="15" spans="1:6" ht="19.5" customHeight="1" x14ac:dyDescent="0.35">
      <c r="B15" s="1" t="s">
        <v>84</v>
      </c>
      <c r="C15" s="1"/>
      <c r="D15" s="1"/>
      <c r="E15" s="1"/>
      <c r="F15" s="1"/>
    </row>
    <row r="16" spans="1:6" ht="24" customHeight="1" x14ac:dyDescent="0.35">
      <c r="B16" s="22" t="s">
        <v>85</v>
      </c>
      <c r="C16" s="29" t="s">
        <v>73</v>
      </c>
      <c r="D16" s="30" t="s">
        <v>86</v>
      </c>
      <c r="E16" s="31" t="s">
        <v>64</v>
      </c>
      <c r="F16" s="32" t="s">
        <v>223</v>
      </c>
    </row>
    <row r="17" spans="2:6" ht="24" customHeight="1" x14ac:dyDescent="0.35">
      <c r="B17" s="22" t="s">
        <v>87</v>
      </c>
      <c r="C17" s="29" t="s">
        <v>88</v>
      </c>
      <c r="D17" s="30" t="s">
        <v>89</v>
      </c>
      <c r="E17" s="31" t="s">
        <v>152</v>
      </c>
      <c r="F17" s="32" t="s">
        <v>224</v>
      </c>
    </row>
    <row r="18" spans="2:6" ht="24" customHeight="1" x14ac:dyDescent="0.35">
      <c r="B18" s="22" t="s">
        <v>90</v>
      </c>
      <c r="C18" s="29" t="s">
        <v>91</v>
      </c>
      <c r="D18" s="30" t="s">
        <v>92</v>
      </c>
      <c r="E18" s="31" t="s">
        <v>153</v>
      </c>
      <c r="F18" s="32" t="s">
        <v>225</v>
      </c>
    </row>
    <row r="19" spans="2:6" ht="24" customHeight="1" x14ac:dyDescent="0.35">
      <c r="B19" s="22" t="s">
        <v>93</v>
      </c>
      <c r="C19" s="29" t="s">
        <v>94</v>
      </c>
      <c r="D19" s="30" t="s">
        <v>95</v>
      </c>
      <c r="E19" s="31" t="s">
        <v>153</v>
      </c>
      <c r="F19" s="32" t="s">
        <v>226</v>
      </c>
    </row>
    <row r="20" spans="2:6" ht="24" customHeight="1" x14ac:dyDescent="0.35">
      <c r="B20" s="22" t="s">
        <v>96</v>
      </c>
      <c r="C20" s="29" t="s">
        <v>97</v>
      </c>
      <c r="D20" s="30" t="s">
        <v>95</v>
      </c>
      <c r="E20" s="31" t="s">
        <v>153</v>
      </c>
      <c r="F20" s="32" t="s">
        <v>227</v>
      </c>
    </row>
    <row r="21" spans="2:6" ht="19.5" customHeight="1" x14ac:dyDescent="0.35">
      <c r="B21" s="1" t="s">
        <v>98</v>
      </c>
      <c r="C21" s="1"/>
      <c r="D21" s="1"/>
      <c r="E21" s="1"/>
      <c r="F21" s="1"/>
    </row>
    <row r="22" spans="2:6" ht="24" customHeight="1" x14ac:dyDescent="0.35">
      <c r="B22" s="22" t="s">
        <v>99</v>
      </c>
      <c r="C22" s="29" t="s">
        <v>100</v>
      </c>
      <c r="D22" s="30" t="s">
        <v>101</v>
      </c>
      <c r="E22" s="31" t="s">
        <v>64</v>
      </c>
      <c r="F22" s="32" t="s">
        <v>228</v>
      </c>
    </row>
    <row r="23" spans="2:6" ht="24" customHeight="1" x14ac:dyDescent="0.35">
      <c r="B23" s="22" t="s">
        <v>102</v>
      </c>
      <c r="C23" s="29" t="s">
        <v>103</v>
      </c>
      <c r="D23" s="30" t="s">
        <v>104</v>
      </c>
      <c r="E23" s="31" t="s">
        <v>152</v>
      </c>
      <c r="F23" s="32" t="s">
        <v>229</v>
      </c>
    </row>
    <row r="24" spans="2:6" ht="24" customHeight="1" x14ac:dyDescent="0.35">
      <c r="B24" s="22" t="s">
        <v>105</v>
      </c>
      <c r="C24" s="29" t="s">
        <v>106</v>
      </c>
      <c r="D24" s="30" t="s">
        <v>104</v>
      </c>
      <c r="E24" s="31" t="s">
        <v>153</v>
      </c>
      <c r="F24" s="32" t="s">
        <v>230</v>
      </c>
    </row>
    <row r="25" spans="2:6" ht="19.5" customHeight="1" x14ac:dyDescent="0.35">
      <c r="B25" s="1" t="s">
        <v>107</v>
      </c>
      <c r="C25" s="1"/>
      <c r="D25" s="1"/>
      <c r="E25" s="1"/>
      <c r="F25" s="1"/>
    </row>
    <row r="26" spans="2:6" ht="24" customHeight="1" x14ac:dyDescent="0.35">
      <c r="B26" s="22" t="s">
        <v>108</v>
      </c>
      <c r="C26" s="53" t="s">
        <v>109</v>
      </c>
      <c r="D26" s="52" t="s">
        <v>110</v>
      </c>
      <c r="E26" s="49" t="s">
        <v>64</v>
      </c>
      <c r="F26" s="50" t="s">
        <v>231</v>
      </c>
    </row>
    <row r="27" spans="2:6" ht="24" customHeight="1" x14ac:dyDescent="0.35">
      <c r="B27" s="22" t="s">
        <v>111</v>
      </c>
      <c r="C27" s="29" t="s">
        <v>73</v>
      </c>
      <c r="D27" s="30" t="s">
        <v>112</v>
      </c>
      <c r="E27" s="31" t="s">
        <v>64</v>
      </c>
      <c r="F27" s="50" t="s">
        <v>232</v>
      </c>
    </row>
    <row r="28" spans="2:6" ht="19.5" customHeight="1" x14ac:dyDescent="0.35">
      <c r="B28" s="1" t="s">
        <v>113</v>
      </c>
      <c r="C28" s="1"/>
      <c r="D28" s="1"/>
      <c r="E28" s="1"/>
      <c r="F28" s="1"/>
    </row>
    <row r="29" spans="2:6" ht="24" customHeight="1" x14ac:dyDescent="0.35">
      <c r="B29" s="22" t="s">
        <v>114</v>
      </c>
      <c r="C29" s="29" t="s">
        <v>73</v>
      </c>
      <c r="D29" s="30" t="s">
        <v>115</v>
      </c>
      <c r="E29" s="31" t="s">
        <v>64</v>
      </c>
      <c r="F29" s="50" t="s">
        <v>233</v>
      </c>
    </row>
    <row r="30" spans="2:6" ht="24" customHeight="1" x14ac:dyDescent="0.35">
      <c r="B30" s="22" t="s">
        <v>116</v>
      </c>
      <c r="C30" s="29" t="s">
        <v>117</v>
      </c>
      <c r="D30" s="30" t="s">
        <v>118</v>
      </c>
      <c r="E30" s="51" t="s">
        <v>153</v>
      </c>
      <c r="F30" s="50" t="s">
        <v>234</v>
      </c>
    </row>
    <row r="31" spans="2:6" ht="24" customHeight="1" x14ac:dyDescent="0.35">
      <c r="B31" s="22" t="s">
        <v>119</v>
      </c>
      <c r="C31" s="29" t="s">
        <v>120</v>
      </c>
      <c r="D31" s="30" t="s">
        <v>115</v>
      </c>
      <c r="E31" s="31" t="s">
        <v>153</v>
      </c>
      <c r="F31" s="50" t="s">
        <v>235</v>
      </c>
    </row>
    <row r="32" spans="2:6" ht="19.5" customHeight="1" x14ac:dyDescent="0.35">
      <c r="B32" s="1" t="s">
        <v>121</v>
      </c>
      <c r="C32" s="1"/>
      <c r="D32" s="1"/>
      <c r="E32" s="1"/>
      <c r="F32" s="1"/>
    </row>
    <row r="33" spans="2:6" ht="24" customHeight="1" x14ac:dyDescent="0.35">
      <c r="B33" s="22" t="s">
        <v>122</v>
      </c>
      <c r="C33" s="29" t="s">
        <v>123</v>
      </c>
      <c r="D33" s="30" t="s">
        <v>124</v>
      </c>
      <c r="E33" s="31" t="s">
        <v>64</v>
      </c>
      <c r="F33" s="50" t="s">
        <v>236</v>
      </c>
    </row>
    <row r="34" spans="2:6" ht="24" customHeight="1" x14ac:dyDescent="0.35">
      <c r="B34" s="22" t="s">
        <v>125</v>
      </c>
      <c r="C34" s="29" t="s">
        <v>126</v>
      </c>
      <c r="D34" s="30" t="s">
        <v>124</v>
      </c>
      <c r="E34" s="31" t="s">
        <v>153</v>
      </c>
      <c r="F34" s="50" t="s">
        <v>237</v>
      </c>
    </row>
    <row r="35" spans="2:6" ht="24" customHeight="1" x14ac:dyDescent="0.35">
      <c r="B35" s="22" t="s">
        <v>127</v>
      </c>
      <c r="C35" s="29" t="s">
        <v>128</v>
      </c>
      <c r="D35" s="30" t="s">
        <v>124</v>
      </c>
      <c r="E35" s="31" t="s">
        <v>153</v>
      </c>
      <c r="F35" s="50" t="s">
        <v>238</v>
      </c>
    </row>
    <row r="36" spans="2:6" ht="19.5" customHeight="1" x14ac:dyDescent="0.35">
      <c r="B36" s="1" t="s">
        <v>129</v>
      </c>
      <c r="C36" s="1"/>
      <c r="D36" s="1"/>
      <c r="E36" s="1"/>
      <c r="F36" s="1"/>
    </row>
    <row r="37" spans="2:6" ht="24" customHeight="1" x14ac:dyDescent="0.35">
      <c r="B37" s="22" t="s">
        <v>130</v>
      </c>
      <c r="C37" s="29" t="s">
        <v>73</v>
      </c>
      <c r="D37" s="30" t="s">
        <v>131</v>
      </c>
      <c r="E37" s="51" t="s">
        <v>64</v>
      </c>
      <c r="F37" s="50" t="s">
        <v>239</v>
      </c>
    </row>
    <row r="38" spans="2:6" ht="24" customHeight="1" x14ac:dyDescent="0.35">
      <c r="B38" s="22" t="s">
        <v>132</v>
      </c>
      <c r="C38" s="29" t="s">
        <v>133</v>
      </c>
      <c r="D38" s="30" t="s">
        <v>134</v>
      </c>
      <c r="E38" s="31" t="s">
        <v>152</v>
      </c>
      <c r="F38" s="50" t="s">
        <v>240</v>
      </c>
    </row>
    <row r="39" spans="2:6" ht="19.5" customHeight="1" x14ac:dyDescent="0.35">
      <c r="B39" s="1" t="s">
        <v>135</v>
      </c>
      <c r="C39" s="1"/>
      <c r="D39" s="1"/>
      <c r="E39" s="1"/>
      <c r="F39" s="1"/>
    </row>
    <row r="40" spans="2:6" ht="24" customHeight="1" x14ac:dyDescent="0.35">
      <c r="B40" s="22" t="s">
        <v>136</v>
      </c>
      <c r="C40" s="29" t="s">
        <v>137</v>
      </c>
      <c r="D40" s="30" t="s">
        <v>138</v>
      </c>
      <c r="E40" s="51" t="s">
        <v>152</v>
      </c>
      <c r="F40" s="50" t="s">
        <v>241</v>
      </c>
    </row>
    <row r="41" spans="2:6" ht="24" customHeight="1" x14ac:dyDescent="0.35">
      <c r="B41" s="22" t="s">
        <v>139</v>
      </c>
      <c r="C41" s="29" t="s">
        <v>140</v>
      </c>
      <c r="D41" s="30" t="s">
        <v>141</v>
      </c>
      <c r="E41" s="31" t="s">
        <v>152</v>
      </c>
      <c r="F41" s="50" t="s">
        <v>242</v>
      </c>
    </row>
    <row r="42" spans="2:6" ht="24" customHeight="1" x14ac:dyDescent="0.35">
      <c r="B42" s="22" t="s">
        <v>142</v>
      </c>
      <c r="C42" s="29" t="s">
        <v>143</v>
      </c>
      <c r="D42" s="30" t="s">
        <v>95</v>
      </c>
      <c r="E42" s="51" t="s">
        <v>153</v>
      </c>
      <c r="F42" s="50" t="s">
        <v>243</v>
      </c>
    </row>
    <row r="43" spans="2:6" ht="19.5" customHeight="1" x14ac:dyDescent="0.35">
      <c r="B43" s="1" t="s">
        <v>144</v>
      </c>
      <c r="C43" s="1"/>
      <c r="D43" s="1"/>
      <c r="E43" s="1"/>
      <c r="F43" s="1"/>
    </row>
    <row r="44" spans="2:6" ht="24" customHeight="1" x14ac:dyDescent="0.35">
      <c r="B44" s="22" t="s">
        <v>145</v>
      </c>
      <c r="C44" s="29" t="s">
        <v>146</v>
      </c>
      <c r="D44" s="30" t="s">
        <v>147</v>
      </c>
      <c r="E44" s="51" t="s">
        <v>64</v>
      </c>
      <c r="F44" s="50" t="s">
        <v>244</v>
      </c>
    </row>
    <row r="45" spans="2:6" ht="24" customHeight="1" x14ac:dyDescent="0.35">
      <c r="B45" s="22" t="s">
        <v>148</v>
      </c>
      <c r="C45" s="29" t="s">
        <v>149</v>
      </c>
      <c r="D45" s="30" t="s">
        <v>150</v>
      </c>
      <c r="E45" s="31" t="s">
        <v>153</v>
      </c>
      <c r="F45" s="50" t="s">
        <v>245</v>
      </c>
    </row>
    <row r="47" spans="2:6" x14ac:dyDescent="0.35">
      <c r="B47" s="33" t="s">
        <v>151</v>
      </c>
    </row>
    <row r="48" spans="2:6" x14ac:dyDescent="0.35">
      <c r="B48" s="34" t="s">
        <v>64</v>
      </c>
      <c r="C48" s="35">
        <f>COUNTIF(E6:E46,"Met")</f>
        <v>9</v>
      </c>
    </row>
    <row r="49" spans="2:3" x14ac:dyDescent="0.35">
      <c r="B49" s="36" t="s">
        <v>152</v>
      </c>
      <c r="C49" s="35">
        <f>COUNTIF(E6:E47,"Partially met")</f>
        <v>8</v>
      </c>
    </row>
    <row r="50" spans="2:3" x14ac:dyDescent="0.35">
      <c r="B50" s="37" t="s">
        <v>153</v>
      </c>
      <c r="C50" s="35">
        <f>COUNTIF(E6:E48,"Not met")</f>
        <v>13</v>
      </c>
    </row>
    <row r="51" spans="2:3" x14ac:dyDescent="0.35">
      <c r="B51" s="38" t="s">
        <v>154</v>
      </c>
      <c r="C51" s="35">
        <f>COUNTIF(E6:E49,"N/A")</f>
        <v>0</v>
      </c>
    </row>
  </sheetData>
  <mergeCells count="11">
    <mergeCell ref="B43:F43"/>
    <mergeCell ref="B25:F25"/>
    <mergeCell ref="B28:F28"/>
    <mergeCell ref="B32:F32"/>
    <mergeCell ref="B36:F36"/>
    <mergeCell ref="B39:F39"/>
    <mergeCell ref="A2:F2"/>
    <mergeCell ref="B6:F6"/>
    <mergeCell ref="B10:F10"/>
    <mergeCell ref="B15:F15"/>
    <mergeCell ref="B21:F21"/>
  </mergeCells>
  <dataValidations count="1">
    <dataValidation type="list" allowBlank="1" sqref="E7:E9 E11:E14 E16:E20 E22:E24 E44:E45 E29:E31 E33:E35 E37:E38 E40:E42 E27" xr:uid="{00000000-0002-0000-0300-000000000000}">
      <formula1>"Met,Partially met,Not met,N/A"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25"/>
  <sheetViews>
    <sheetView showGridLines="0" topLeftCell="F3" zoomScaleNormal="100" workbookViewId="0">
      <selection activeCell="L9" sqref="L9"/>
    </sheetView>
  </sheetViews>
  <sheetFormatPr defaultColWidth="8.6328125" defaultRowHeight="14.5" x14ac:dyDescent="0.35"/>
  <cols>
    <col min="1" max="1" width="3" customWidth="1"/>
    <col min="2" max="2" width="7" customWidth="1"/>
    <col min="3" max="3" width="18" customWidth="1"/>
    <col min="4" max="4" width="40" customWidth="1"/>
    <col min="5" max="5" width="14" customWidth="1"/>
    <col min="6" max="6" width="11" customWidth="1"/>
    <col min="7" max="8" width="9" customWidth="1"/>
    <col min="9" max="9" width="11" customWidth="1"/>
    <col min="10" max="10" width="34" customWidth="1"/>
    <col min="11" max="12" width="13" customWidth="1"/>
  </cols>
  <sheetData>
    <row r="2" spans="1:12" ht="30" customHeight="1" x14ac:dyDescent="0.35">
      <c r="A2" s="3" t="s">
        <v>155</v>
      </c>
      <c r="B2" s="3"/>
      <c r="C2" s="3"/>
      <c r="D2" s="3"/>
      <c r="E2" s="3"/>
      <c r="F2" s="3"/>
      <c r="G2" s="3"/>
      <c r="H2" s="3"/>
      <c r="I2" s="3"/>
      <c r="J2" s="3"/>
      <c r="K2" s="3"/>
    </row>
    <row r="3" spans="1:12" ht="237.5" x14ac:dyDescent="0.35">
      <c r="B3" s="16" t="s">
        <v>156</v>
      </c>
    </row>
    <row r="5" spans="1:12" ht="30" customHeight="1" x14ac:dyDescent="0.35">
      <c r="B5" s="21" t="s">
        <v>157</v>
      </c>
      <c r="C5" s="21" t="s">
        <v>158</v>
      </c>
      <c r="D5" s="21" t="s">
        <v>159</v>
      </c>
      <c r="E5" s="21" t="s">
        <v>160</v>
      </c>
      <c r="F5" s="21" t="s">
        <v>161</v>
      </c>
      <c r="G5" s="21" t="s">
        <v>162</v>
      </c>
      <c r="H5" s="21" t="s">
        <v>163</v>
      </c>
      <c r="I5" s="21" t="s">
        <v>164</v>
      </c>
      <c r="J5" s="21" t="s">
        <v>165</v>
      </c>
      <c r="K5" s="21" t="s">
        <v>166</v>
      </c>
      <c r="L5" s="21" t="s">
        <v>167</v>
      </c>
    </row>
    <row r="6" spans="1:12" ht="30" customHeight="1" x14ac:dyDescent="0.35">
      <c r="B6" s="39" t="s">
        <v>168</v>
      </c>
      <c r="C6" s="32" t="s">
        <v>169</v>
      </c>
      <c r="D6" s="32" t="s">
        <v>170</v>
      </c>
      <c r="E6" s="32" t="s">
        <v>171</v>
      </c>
      <c r="F6" s="39">
        <v>4</v>
      </c>
      <c r="G6" s="39">
        <v>5</v>
      </c>
      <c r="H6" s="40">
        <f t="shared" ref="H6:H25" si="0">IF(OR(F6="",G6=""),"",F6*G6)</f>
        <v>20</v>
      </c>
      <c r="I6" s="40" t="str">
        <f t="shared" ref="I6:I25" si="1">IF(H6="","",IF(H6&gt;=15,"Critical",IF(H6&gt;=10,"High",IF(H6&gt;=5,"Medium","Low"))))</f>
        <v>Critical</v>
      </c>
      <c r="J6" s="32" t="s">
        <v>172</v>
      </c>
      <c r="K6" s="39" t="s">
        <v>173</v>
      </c>
      <c r="L6" s="39" t="s">
        <v>174</v>
      </c>
    </row>
    <row r="7" spans="1:12" ht="30" customHeight="1" x14ac:dyDescent="0.35">
      <c r="B7" s="39"/>
      <c r="C7" s="50" t="s">
        <v>246</v>
      </c>
      <c r="D7" s="50" t="s">
        <v>247</v>
      </c>
      <c r="E7" s="32" t="s">
        <v>171</v>
      </c>
      <c r="F7" s="39">
        <v>5</v>
      </c>
      <c r="G7" s="39">
        <v>5</v>
      </c>
      <c r="H7" s="40">
        <f t="shared" si="0"/>
        <v>25</v>
      </c>
      <c r="I7" s="40" t="str">
        <f t="shared" si="1"/>
        <v>Critical</v>
      </c>
      <c r="J7" s="50" t="s">
        <v>248</v>
      </c>
      <c r="K7" s="54" t="s">
        <v>249</v>
      </c>
      <c r="L7" s="39" t="s">
        <v>174</v>
      </c>
    </row>
    <row r="8" spans="1:12" ht="30" customHeight="1" x14ac:dyDescent="0.35">
      <c r="B8" s="39"/>
      <c r="C8" s="50" t="s">
        <v>250</v>
      </c>
      <c r="D8" s="50" t="s">
        <v>251</v>
      </c>
      <c r="E8" s="32" t="s">
        <v>252</v>
      </c>
      <c r="F8" s="39">
        <v>4</v>
      </c>
      <c r="G8" s="39">
        <v>4</v>
      </c>
      <c r="H8" s="40">
        <f>IF(OR(F8="",G8=""),"",F8*G8)</f>
        <v>16</v>
      </c>
      <c r="I8" s="40" t="str">
        <f t="shared" si="1"/>
        <v>Critical</v>
      </c>
      <c r="J8" s="50" t="s">
        <v>253</v>
      </c>
      <c r="K8" s="54" t="s">
        <v>254</v>
      </c>
      <c r="L8" s="39" t="s">
        <v>174</v>
      </c>
    </row>
    <row r="9" spans="1:12" ht="30" customHeight="1" x14ac:dyDescent="0.35">
      <c r="B9" s="39"/>
      <c r="C9" s="50" t="s">
        <v>255</v>
      </c>
      <c r="D9" s="50" t="s">
        <v>256</v>
      </c>
      <c r="E9" s="32" t="s">
        <v>171</v>
      </c>
      <c r="F9" s="39">
        <v>3</v>
      </c>
      <c r="G9" s="39">
        <v>2</v>
      </c>
      <c r="H9" s="40">
        <f>IF(OR(F9="",G9=""),"",F9*G9)</f>
        <v>6</v>
      </c>
      <c r="I9" s="40" t="str">
        <f t="shared" si="1"/>
        <v>Medium</v>
      </c>
      <c r="J9" s="50" t="s">
        <v>257</v>
      </c>
      <c r="K9" s="54" t="s">
        <v>258</v>
      </c>
      <c r="L9" s="39" t="s">
        <v>174</v>
      </c>
    </row>
    <row r="10" spans="1:12" ht="30" customHeight="1" x14ac:dyDescent="0.35">
      <c r="B10" s="39"/>
      <c r="C10" s="32"/>
      <c r="D10" s="32"/>
      <c r="E10" s="32"/>
      <c r="F10" s="39"/>
      <c r="G10" s="39"/>
      <c r="H10" s="40" t="str">
        <f t="shared" si="0"/>
        <v/>
      </c>
      <c r="I10" s="40" t="str">
        <f t="shared" si="1"/>
        <v/>
      </c>
      <c r="J10" s="32"/>
      <c r="K10" s="39"/>
      <c r="L10" s="39"/>
    </row>
    <row r="11" spans="1:12" ht="30" customHeight="1" x14ac:dyDescent="0.35">
      <c r="B11" s="39"/>
      <c r="C11" s="32"/>
      <c r="D11" s="32"/>
      <c r="E11" s="32"/>
      <c r="F11" s="39"/>
      <c r="G11" s="39"/>
      <c r="H11" s="40" t="str">
        <f t="shared" si="0"/>
        <v/>
      </c>
      <c r="I11" s="40" t="str">
        <f t="shared" si="1"/>
        <v/>
      </c>
      <c r="J11" s="32"/>
      <c r="K11" s="39"/>
      <c r="L11" s="39"/>
    </row>
    <row r="12" spans="1:12" ht="30" customHeight="1" x14ac:dyDescent="0.35">
      <c r="B12" s="39"/>
      <c r="C12" s="32"/>
      <c r="D12" s="32"/>
      <c r="E12" s="32"/>
      <c r="F12" s="39"/>
      <c r="G12" s="39"/>
      <c r="H12" s="40" t="str">
        <f t="shared" si="0"/>
        <v/>
      </c>
      <c r="I12" s="40" t="str">
        <f t="shared" si="1"/>
        <v/>
      </c>
      <c r="J12" s="32"/>
      <c r="K12" s="39"/>
      <c r="L12" s="39"/>
    </row>
    <row r="13" spans="1:12" ht="30" customHeight="1" x14ac:dyDescent="0.35">
      <c r="B13" s="39"/>
      <c r="C13" s="32"/>
      <c r="D13" s="32"/>
      <c r="E13" s="32"/>
      <c r="F13" s="39"/>
      <c r="G13" s="39"/>
      <c r="H13" s="40" t="str">
        <f t="shared" si="0"/>
        <v/>
      </c>
      <c r="I13" s="40" t="str">
        <f t="shared" si="1"/>
        <v/>
      </c>
      <c r="J13" s="32"/>
      <c r="K13" s="39"/>
      <c r="L13" s="39"/>
    </row>
    <row r="14" spans="1:12" ht="30" customHeight="1" x14ac:dyDescent="0.35">
      <c r="B14" s="39"/>
      <c r="C14" s="32"/>
      <c r="D14" s="32"/>
      <c r="E14" s="32"/>
      <c r="F14" s="39"/>
      <c r="G14" s="39"/>
      <c r="H14" s="40" t="str">
        <f t="shared" si="0"/>
        <v/>
      </c>
      <c r="I14" s="40" t="str">
        <f t="shared" si="1"/>
        <v/>
      </c>
      <c r="J14" s="32"/>
      <c r="K14" s="39"/>
      <c r="L14" s="39"/>
    </row>
    <row r="15" spans="1:12" ht="30" customHeight="1" x14ac:dyDescent="0.35">
      <c r="B15" s="39"/>
      <c r="C15" s="32"/>
      <c r="D15" s="32"/>
      <c r="E15" s="32"/>
      <c r="F15" s="39"/>
      <c r="G15" s="39"/>
      <c r="H15" s="40" t="str">
        <f t="shared" si="0"/>
        <v/>
      </c>
      <c r="I15" s="40" t="str">
        <f t="shared" si="1"/>
        <v/>
      </c>
      <c r="J15" s="32"/>
      <c r="K15" s="39"/>
      <c r="L15" s="39"/>
    </row>
    <row r="16" spans="1:12" ht="30" customHeight="1" x14ac:dyDescent="0.35">
      <c r="B16" s="39"/>
      <c r="C16" s="32"/>
      <c r="D16" s="32"/>
      <c r="E16" s="32"/>
      <c r="F16" s="39"/>
      <c r="G16" s="39"/>
      <c r="H16" s="40" t="str">
        <f t="shared" si="0"/>
        <v/>
      </c>
      <c r="I16" s="40" t="str">
        <f t="shared" si="1"/>
        <v/>
      </c>
      <c r="J16" s="32"/>
      <c r="K16" s="39"/>
      <c r="L16" s="39"/>
    </row>
    <row r="17" spans="2:12" ht="30" customHeight="1" x14ac:dyDescent="0.35">
      <c r="B17" s="39"/>
      <c r="C17" s="32"/>
      <c r="D17" s="32"/>
      <c r="E17" s="32"/>
      <c r="F17" s="39"/>
      <c r="G17" s="39"/>
      <c r="H17" s="40" t="str">
        <f t="shared" si="0"/>
        <v/>
      </c>
      <c r="I17" s="40" t="str">
        <f t="shared" si="1"/>
        <v/>
      </c>
      <c r="J17" s="32"/>
      <c r="K17" s="39"/>
      <c r="L17" s="39"/>
    </row>
    <row r="18" spans="2:12" ht="30" customHeight="1" x14ac:dyDescent="0.35">
      <c r="B18" s="39"/>
      <c r="C18" s="32"/>
      <c r="D18" s="32"/>
      <c r="E18" s="32"/>
      <c r="F18" s="39"/>
      <c r="G18" s="39"/>
      <c r="H18" s="40" t="str">
        <f t="shared" si="0"/>
        <v/>
      </c>
      <c r="I18" s="40" t="str">
        <f t="shared" si="1"/>
        <v/>
      </c>
      <c r="J18" s="32"/>
      <c r="K18" s="39"/>
      <c r="L18" s="39"/>
    </row>
    <row r="19" spans="2:12" ht="30" customHeight="1" x14ac:dyDescent="0.35">
      <c r="B19" s="39"/>
      <c r="C19" s="32"/>
      <c r="D19" s="32"/>
      <c r="E19" s="32"/>
      <c r="F19" s="39"/>
      <c r="G19" s="39"/>
      <c r="H19" s="40" t="str">
        <f t="shared" si="0"/>
        <v/>
      </c>
      <c r="I19" s="40" t="str">
        <f t="shared" si="1"/>
        <v/>
      </c>
      <c r="J19" s="32"/>
      <c r="K19" s="39"/>
      <c r="L19" s="39"/>
    </row>
    <row r="20" spans="2:12" ht="30" customHeight="1" x14ac:dyDescent="0.35">
      <c r="B20" s="39"/>
      <c r="C20" s="32"/>
      <c r="D20" s="32"/>
      <c r="E20" s="32"/>
      <c r="F20" s="39"/>
      <c r="G20" s="39"/>
      <c r="H20" s="40" t="str">
        <f t="shared" si="0"/>
        <v/>
      </c>
      <c r="I20" s="40" t="str">
        <f t="shared" si="1"/>
        <v/>
      </c>
      <c r="J20" s="32"/>
      <c r="K20" s="39"/>
      <c r="L20" s="39"/>
    </row>
    <row r="21" spans="2:12" ht="30" customHeight="1" x14ac:dyDescent="0.35">
      <c r="B21" s="39"/>
      <c r="C21" s="32"/>
      <c r="D21" s="32"/>
      <c r="E21" s="32"/>
      <c r="F21" s="39"/>
      <c r="G21" s="39"/>
      <c r="H21" s="40" t="str">
        <f t="shared" si="0"/>
        <v/>
      </c>
      <c r="I21" s="40" t="str">
        <f t="shared" si="1"/>
        <v/>
      </c>
      <c r="J21" s="32"/>
      <c r="K21" s="39"/>
      <c r="L21" s="39"/>
    </row>
    <row r="22" spans="2:12" ht="30" customHeight="1" x14ac:dyDescent="0.35">
      <c r="B22" s="39"/>
      <c r="C22" s="32"/>
      <c r="D22" s="32"/>
      <c r="E22" s="32"/>
      <c r="F22" s="39"/>
      <c r="G22" s="39"/>
      <c r="H22" s="40" t="str">
        <f t="shared" si="0"/>
        <v/>
      </c>
      <c r="I22" s="40" t="str">
        <f t="shared" si="1"/>
        <v/>
      </c>
      <c r="J22" s="32"/>
      <c r="K22" s="39"/>
      <c r="L22" s="39"/>
    </row>
    <row r="23" spans="2:12" ht="30" customHeight="1" x14ac:dyDescent="0.35">
      <c r="B23" s="39"/>
      <c r="C23" s="32"/>
      <c r="D23" s="32"/>
      <c r="E23" s="32"/>
      <c r="F23" s="39"/>
      <c r="G23" s="39"/>
      <c r="H23" s="40" t="str">
        <f t="shared" si="0"/>
        <v/>
      </c>
      <c r="I23" s="40" t="str">
        <f t="shared" si="1"/>
        <v/>
      </c>
      <c r="J23" s="32"/>
      <c r="K23" s="39"/>
      <c r="L23" s="39"/>
    </row>
    <row r="24" spans="2:12" ht="30" customHeight="1" x14ac:dyDescent="0.35">
      <c r="B24" s="39"/>
      <c r="C24" s="32"/>
      <c r="D24" s="32"/>
      <c r="E24" s="32"/>
      <c r="F24" s="39"/>
      <c r="G24" s="39"/>
      <c r="H24" s="40" t="str">
        <f t="shared" si="0"/>
        <v/>
      </c>
      <c r="I24" s="40" t="str">
        <f t="shared" si="1"/>
        <v/>
      </c>
      <c r="J24" s="32"/>
      <c r="K24" s="39"/>
      <c r="L24" s="39"/>
    </row>
    <row r="25" spans="2:12" ht="30" customHeight="1" x14ac:dyDescent="0.35">
      <c r="B25" s="39"/>
      <c r="C25" s="32"/>
      <c r="D25" s="32"/>
      <c r="E25" s="32"/>
      <c r="F25" s="39"/>
      <c r="G25" s="39"/>
      <c r="H25" s="40" t="str">
        <f t="shared" si="0"/>
        <v/>
      </c>
      <c r="I25" s="40" t="str">
        <f t="shared" si="1"/>
        <v/>
      </c>
      <c r="J25" s="32"/>
      <c r="K25" s="39"/>
      <c r="L25" s="39"/>
    </row>
  </sheetData>
  <mergeCells count="1">
    <mergeCell ref="A2:K2"/>
  </mergeCells>
  <conditionalFormatting sqref="I6:I25">
    <cfRule type="cellIs" dxfId="3" priority="2" operator="equal">
      <formula>"Critical"</formula>
    </cfRule>
    <cfRule type="cellIs" dxfId="2" priority="3" operator="equal">
      <formula>"High"</formula>
    </cfRule>
    <cfRule type="cellIs" dxfId="1" priority="4" operator="equal">
      <formula>"Medium"</formula>
    </cfRule>
    <cfRule type="cellIs" dxfId="0" priority="5" operator="equal">
      <formula>"Low"</formula>
    </cfRule>
  </conditionalFormatting>
  <dataValidations count="2">
    <dataValidation type="list" allowBlank="1" sqref="L6:L25" xr:uid="{00000000-0002-0000-0400-000000000000}">
      <formula1>"Open,In progress,Remediated,Accepted,Closed"</formula1>
      <formula2>0</formula2>
    </dataValidation>
    <dataValidation type="list" allowBlank="1" sqref="E6:E25" xr:uid="{00000000-0002-0000-0400-000001000000}">
      <formula1>"Vendor,Bank,Vendor + Bank"</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17"/>
  <sheetViews>
    <sheetView showGridLines="0" zoomScaleNormal="100" workbookViewId="0"/>
  </sheetViews>
  <sheetFormatPr defaultColWidth="8.6328125" defaultRowHeight="14.5" x14ac:dyDescent="0.35"/>
  <cols>
    <col min="1" max="1" width="3" customWidth="1"/>
    <col min="2" max="2" width="22" customWidth="1"/>
    <col min="3" max="7" width="14" customWidth="1"/>
  </cols>
  <sheetData>
    <row r="2" spans="1:7" ht="30" customHeight="1" x14ac:dyDescent="0.35">
      <c r="A2" s="3" t="s">
        <v>175</v>
      </c>
      <c r="B2" s="3"/>
      <c r="C2" s="3"/>
      <c r="D2" s="3"/>
      <c r="E2" s="3"/>
      <c r="F2" s="3"/>
      <c r="G2" s="3"/>
    </row>
    <row r="5" spans="1:7" x14ac:dyDescent="0.35">
      <c r="B5" s="41" t="s">
        <v>176</v>
      </c>
      <c r="C5" s="41" t="s">
        <v>177</v>
      </c>
      <c r="D5" s="41" t="s">
        <v>178</v>
      </c>
      <c r="E5" s="41" t="s">
        <v>179</v>
      </c>
      <c r="F5" s="41" t="s">
        <v>180</v>
      </c>
      <c r="G5" s="41" t="s">
        <v>181</v>
      </c>
    </row>
    <row r="6" spans="1:7" ht="25.5" customHeight="1" x14ac:dyDescent="0.35">
      <c r="B6" s="41" t="s">
        <v>182</v>
      </c>
      <c r="C6" s="42">
        <v>5</v>
      </c>
      <c r="D6" s="43">
        <v>10</v>
      </c>
      <c r="E6" s="44">
        <v>15</v>
      </c>
      <c r="F6" s="44">
        <v>20</v>
      </c>
      <c r="G6" s="44">
        <v>25</v>
      </c>
    </row>
    <row r="7" spans="1:7" ht="25.5" customHeight="1" x14ac:dyDescent="0.35">
      <c r="B7" s="41" t="s">
        <v>183</v>
      </c>
      <c r="C7" s="45">
        <v>4</v>
      </c>
      <c r="D7" s="42">
        <v>8</v>
      </c>
      <c r="E7" s="43">
        <v>12</v>
      </c>
      <c r="F7" s="44">
        <v>16</v>
      </c>
      <c r="G7" s="44">
        <v>20</v>
      </c>
    </row>
    <row r="8" spans="1:7" ht="25.5" customHeight="1" x14ac:dyDescent="0.35">
      <c r="B8" s="41" t="s">
        <v>184</v>
      </c>
      <c r="C8" s="45">
        <v>3</v>
      </c>
      <c r="D8" s="42">
        <v>6</v>
      </c>
      <c r="E8" s="42">
        <v>9</v>
      </c>
      <c r="F8" s="43">
        <v>12</v>
      </c>
      <c r="G8" s="44">
        <v>15</v>
      </c>
    </row>
    <row r="9" spans="1:7" ht="25.5" customHeight="1" x14ac:dyDescent="0.35">
      <c r="B9" s="41" t="s">
        <v>185</v>
      </c>
      <c r="C9" s="45">
        <v>2</v>
      </c>
      <c r="D9" s="45">
        <v>4</v>
      </c>
      <c r="E9" s="42">
        <v>6</v>
      </c>
      <c r="F9" s="42">
        <v>8</v>
      </c>
      <c r="G9" s="43">
        <v>10</v>
      </c>
    </row>
    <row r="10" spans="1:7" ht="25.5" customHeight="1" x14ac:dyDescent="0.35">
      <c r="B10" s="41" t="s">
        <v>186</v>
      </c>
      <c r="C10" s="45">
        <v>1</v>
      </c>
      <c r="D10" s="45">
        <v>2</v>
      </c>
      <c r="E10" s="45">
        <v>3</v>
      </c>
      <c r="F10" s="45">
        <v>4</v>
      </c>
      <c r="G10" s="42">
        <v>5</v>
      </c>
    </row>
    <row r="13" spans="1:7" x14ac:dyDescent="0.35">
      <c r="B13" s="33" t="s">
        <v>187</v>
      </c>
    </row>
    <row r="14" spans="1:7" ht="19.5" customHeight="1" x14ac:dyDescent="0.35">
      <c r="B14" s="15" t="s">
        <v>188</v>
      </c>
    </row>
    <row r="15" spans="1:7" ht="19.5" customHeight="1" x14ac:dyDescent="0.35">
      <c r="B15" s="14" t="s">
        <v>189</v>
      </c>
    </row>
    <row r="16" spans="1:7" ht="19.5" customHeight="1" x14ac:dyDescent="0.35">
      <c r="B16" s="13" t="s">
        <v>190</v>
      </c>
    </row>
    <row r="17" spans="2:2" ht="19.5" customHeight="1" x14ac:dyDescent="0.35">
      <c r="B17" s="12" t="s">
        <v>191</v>
      </c>
    </row>
  </sheetData>
  <mergeCells count="1">
    <mergeCell ref="A2:G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D19"/>
  <sheetViews>
    <sheetView showGridLines="0" tabSelected="1" topLeftCell="A7" zoomScaleNormal="100" workbookViewId="0">
      <selection activeCell="C14" sqref="C14"/>
    </sheetView>
  </sheetViews>
  <sheetFormatPr defaultColWidth="8.6328125" defaultRowHeight="14.5" x14ac:dyDescent="0.35"/>
  <cols>
    <col min="1" max="1" width="3" customWidth="1"/>
    <col min="2" max="2" width="38" customWidth="1"/>
    <col min="3" max="3" width="62" customWidth="1"/>
  </cols>
  <sheetData>
    <row r="2" spans="1:4" ht="30" customHeight="1" x14ac:dyDescent="0.35">
      <c r="A2" s="3" t="s">
        <v>192</v>
      </c>
      <c r="B2" s="3"/>
      <c r="C2" s="3"/>
      <c r="D2" s="3"/>
    </row>
    <row r="3" spans="1:4" ht="37.5" x14ac:dyDescent="0.35">
      <c r="B3" s="16" t="s">
        <v>193</v>
      </c>
    </row>
    <row r="5" spans="1:4" ht="25.5" customHeight="1" x14ac:dyDescent="0.35">
      <c r="B5" s="17" t="s">
        <v>194</v>
      </c>
      <c r="C5" s="46" t="str">
        <f>'2 · Tiering'!C12</f>
        <v>CRITICAL</v>
      </c>
    </row>
    <row r="6" spans="1:4" ht="25.5" customHeight="1" x14ac:dyDescent="0.35">
      <c r="B6" s="17" t="s">
        <v>195</v>
      </c>
      <c r="C6" s="46">
        <f>COUNTIF('4 · Findings'!I6:I25,"Critical")</f>
        <v>3</v>
      </c>
    </row>
    <row r="7" spans="1:4" ht="25.5" customHeight="1" x14ac:dyDescent="0.35">
      <c r="B7" s="17" t="s">
        <v>196</v>
      </c>
      <c r="C7" s="46">
        <f>COUNTIF('4 · Findings'!I6:I25,"High")</f>
        <v>0</v>
      </c>
    </row>
    <row r="8" spans="1:4" ht="25.5" customHeight="1" x14ac:dyDescent="0.35">
      <c r="B8" s="17" t="s">
        <v>197</v>
      </c>
      <c r="C8" s="46">
        <f>COUNTIF('4 · Findings'!I6:I25,"Medium")</f>
        <v>1</v>
      </c>
    </row>
    <row r="9" spans="1:4" ht="25.5" customHeight="1" x14ac:dyDescent="0.35">
      <c r="B9" s="17" t="s">
        <v>198</v>
      </c>
      <c r="C9" s="46">
        <f>COUNTIF('4 · Findings'!I6:I25,"Low")</f>
        <v>0</v>
      </c>
    </row>
    <row r="10" spans="1:4" ht="25.5" customHeight="1" x14ac:dyDescent="0.35">
      <c r="B10" s="17" t="s">
        <v>199</v>
      </c>
      <c r="C10" s="55" t="s">
        <v>259</v>
      </c>
    </row>
    <row r="11" spans="1:4" ht="25.5" customHeight="1" x14ac:dyDescent="0.35">
      <c r="B11" s="17" t="s">
        <v>200</v>
      </c>
      <c r="C11" s="18" t="s">
        <v>260</v>
      </c>
    </row>
    <row r="12" spans="1:4" ht="25.5" customHeight="1" x14ac:dyDescent="0.35">
      <c r="B12" s="17" t="s">
        <v>165</v>
      </c>
      <c r="C12" s="55" t="s">
        <v>261</v>
      </c>
    </row>
    <row r="13" spans="1:4" ht="25.5" customHeight="1" x14ac:dyDescent="0.35">
      <c r="B13" s="17" t="s">
        <v>201</v>
      </c>
      <c r="C13" s="55" t="s">
        <v>262</v>
      </c>
    </row>
    <row r="14" spans="1:4" ht="25.5" customHeight="1" x14ac:dyDescent="0.35">
      <c r="B14" s="17" t="s">
        <v>202</v>
      </c>
      <c r="C14" s="55" t="s">
        <v>263</v>
      </c>
    </row>
    <row r="15" spans="1:4" ht="25.5" customHeight="1" x14ac:dyDescent="0.35">
      <c r="B15" s="17" t="s">
        <v>203</v>
      </c>
      <c r="C15" s="18"/>
    </row>
    <row r="17" spans="2:2" x14ac:dyDescent="0.35">
      <c r="B17" s="11" t="s">
        <v>204</v>
      </c>
    </row>
    <row r="18" spans="2:2" ht="24" x14ac:dyDescent="0.35">
      <c r="B18" s="47" t="s">
        <v>205</v>
      </c>
    </row>
    <row r="19" spans="2:2" ht="25" x14ac:dyDescent="0.35">
      <c r="B19" s="16" t="s">
        <v>206</v>
      </c>
    </row>
  </sheetData>
  <mergeCells count="1">
    <mergeCell ref="A2:D2"/>
  </mergeCells>
  <dataValidations count="2">
    <dataValidation type="list" allowBlank="1" sqref="C12" xr:uid="{00000000-0002-0000-0600-000000000000}">
      <formula1>"Approve,Approve with conditions,Reject / do not proceed"</formula1>
      <formula2>0</formula2>
    </dataValidation>
    <dataValidation type="list" allowBlank="1" sqref="C11" xr:uid="{00000000-0002-0000-0600-000001000000}">
      <formula1>"Yes,No,Only with conditions"</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1 · Vendor Profile</vt:lpstr>
      <vt:lpstr>2 · Tiering</vt:lpstr>
      <vt:lpstr>3 · Questionnaire</vt:lpstr>
      <vt:lpstr>4 · Findings</vt:lpstr>
      <vt:lpstr>5 · Risk Matrix</vt:lpstr>
      <vt:lpstr>6 · Decision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Ajibadea, Samuel</cp:lastModifiedBy>
  <cp:revision>0</cp:revision>
  <dcterms:created xsi:type="dcterms:W3CDTF">2026-07-11T11:47:44Z</dcterms:created>
  <dcterms:modified xsi:type="dcterms:W3CDTF">2026-07-19T02:47:01Z</dcterms:modified>
  <dc:language>en-US</dc:language>
</cp:coreProperties>
</file>